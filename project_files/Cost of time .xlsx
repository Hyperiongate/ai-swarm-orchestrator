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\OneDrive\Desktop\Project Administration\"/>
    </mc:Choice>
  </mc:AlternateContent>
  <xr:revisionPtr revIDLastSave="0" documentId="8_{E9B1E7AF-8005-49D6-8E83-1A71B37487F0}" xr6:coauthVersionLast="47" xr6:coauthVersionMax="47" xr10:uidLastSave="{00000000-0000-0000-0000-000000000000}"/>
  <bookViews>
    <workbookView xWindow="-108" yWindow="-108" windowWidth="23256" windowHeight="12456" xr2:uid="{123680A5-723D-4672-871E-6A4C5C1F40F8}"/>
  </bookViews>
  <sheets>
    <sheet name="Cost of Tim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" l="1"/>
  <c r="K30" i="1" l="1"/>
  <c r="K29" i="1"/>
  <c r="J30" i="1"/>
  <c r="M16" i="1"/>
  <c r="M13" i="1"/>
  <c r="M5" i="1"/>
  <c r="M8" i="1" s="1"/>
  <c r="M2" i="1"/>
  <c r="N2" i="1"/>
  <c r="M4" i="1"/>
  <c r="N4" i="1"/>
  <c r="N8" i="1" s="1"/>
  <c r="N5" i="1"/>
  <c r="M6" i="1"/>
  <c r="N6" i="1"/>
  <c r="M11" i="1"/>
  <c r="N11" i="1"/>
  <c r="M12" i="1"/>
  <c r="N12" i="1"/>
  <c r="M14" i="1"/>
  <c r="N14" i="1"/>
  <c r="N16" i="1"/>
  <c r="M19" i="1"/>
  <c r="N19" i="1"/>
  <c r="M20" i="1"/>
  <c r="N20" i="1"/>
  <c r="M21" i="1"/>
  <c r="M23" i="1" s="1"/>
  <c r="N21" i="1"/>
  <c r="N23" i="1" s="1"/>
  <c r="O16" i="1"/>
  <c r="O2" i="1"/>
  <c r="L16" i="1"/>
  <c r="K16" i="1"/>
  <c r="L14" i="1"/>
  <c r="K14" i="1"/>
  <c r="L5" i="1"/>
  <c r="K5" i="1"/>
  <c r="L2" i="1"/>
  <c r="J16" i="1"/>
  <c r="N17" i="1" l="1"/>
  <c r="N18" i="1" s="1"/>
  <c r="N9" i="1"/>
  <c r="N22" i="1"/>
  <c r="M9" i="1"/>
  <c r="M17" i="1"/>
  <c r="M18" i="1" s="1"/>
  <c r="M22" i="1" s="1"/>
  <c r="K2" i="1"/>
  <c r="D15" i="1"/>
  <c r="O19" i="1" s="1"/>
  <c r="L19" i="1"/>
  <c r="L12" i="1"/>
  <c r="L11" i="1"/>
  <c r="L6" i="1"/>
  <c r="L4" i="1"/>
  <c r="E4" i="1"/>
  <c r="E8" i="1"/>
  <c r="E9" i="1"/>
  <c r="D16" i="1"/>
  <c r="J11" i="1" s="1"/>
  <c r="D17" i="1"/>
  <c r="O12" i="1" s="1"/>
  <c r="F4" i="1"/>
  <c r="F10" i="1" s="1"/>
  <c r="L8" i="1" l="1"/>
  <c r="L13" i="1" s="1"/>
  <c r="E10" i="1"/>
  <c r="J20" i="1" s="1"/>
  <c r="L20" i="1"/>
  <c r="L21" i="1"/>
  <c r="L23" i="1" s="1"/>
  <c r="J5" i="1"/>
  <c r="K20" i="1"/>
  <c r="J14" i="1"/>
  <c r="O21" i="1"/>
  <c r="O23" i="1" s="1"/>
  <c r="O5" i="1"/>
  <c r="K11" i="1"/>
  <c r="O14" i="1"/>
  <c r="J21" i="1"/>
  <c r="J6" i="1"/>
  <c r="O11" i="1"/>
  <c r="O4" i="1"/>
  <c r="J12" i="1"/>
  <c r="K6" i="1"/>
  <c r="J19" i="1"/>
  <c r="K19" i="1"/>
  <c r="O6" i="1"/>
  <c r="K12" i="1"/>
  <c r="J4" i="1"/>
  <c r="K21" i="1"/>
  <c r="K4" i="1"/>
  <c r="O20" i="1"/>
  <c r="K8" i="1" l="1"/>
  <c r="K15" i="1" s="1"/>
  <c r="L15" i="1" s="1"/>
  <c r="L17" i="1" s="1"/>
  <c r="L18" i="1" s="1"/>
  <c r="L22" i="1" s="1"/>
  <c r="J27" i="1" s="1"/>
  <c r="L9" i="1"/>
  <c r="O8" i="1"/>
  <c r="O13" i="1" s="1"/>
  <c r="J8" i="1"/>
  <c r="J9" i="1" s="1"/>
  <c r="K23" i="1"/>
  <c r="J23" i="1"/>
  <c r="K9" i="1" l="1"/>
  <c r="O9" i="1"/>
  <c r="K17" i="1" l="1"/>
  <c r="K18" i="1" s="1"/>
  <c r="K22" i="1" s="1"/>
  <c r="J26" i="1" s="1"/>
  <c r="J29" i="1" s="1"/>
  <c r="O17" i="1"/>
  <c r="O18" i="1" s="1"/>
  <c r="O22" i="1" s="1"/>
  <c r="J28" i="1" s="1"/>
  <c r="J17" i="1"/>
  <c r="J18" i="1" s="1"/>
  <c r="J22" i="1" s="1"/>
  <c r="J25" i="1" l="1"/>
</calcChain>
</file>

<file path=xl/sharedStrings.xml><?xml version="1.0" encoding="utf-8"?>
<sst xmlns="http://schemas.openxmlformats.org/spreadsheetml/2006/main" count="110" uniqueCount="68">
  <si>
    <t>Wage</t>
  </si>
  <si>
    <t>401K 6% with 85% participation</t>
  </si>
  <si>
    <t>FUI/SUI</t>
  </si>
  <si>
    <t>FICA</t>
  </si>
  <si>
    <t>Profit sharing</t>
  </si>
  <si>
    <t>WC</t>
  </si>
  <si>
    <t xml:space="preserve"> </t>
  </si>
  <si>
    <t>Medical</t>
  </si>
  <si>
    <t>sum</t>
  </si>
  <si>
    <t>Straight time</t>
  </si>
  <si>
    <t>Overtime</t>
  </si>
  <si>
    <t>Scheduled Hours</t>
  </si>
  <si>
    <t>5 day 8's</t>
  </si>
  <si>
    <t>42 hour 12's</t>
  </si>
  <si>
    <t>less</t>
  </si>
  <si>
    <t>Vacation</t>
  </si>
  <si>
    <t>Holidays</t>
  </si>
  <si>
    <t>Items</t>
  </si>
  <si>
    <t>Inputs</t>
  </si>
  <si>
    <t>Actual</t>
  </si>
  <si>
    <t>wage</t>
  </si>
  <si>
    <t>Flexible PTO</t>
  </si>
  <si>
    <t>Holidays Recognized</t>
  </si>
  <si>
    <t>Holidays Worked</t>
  </si>
  <si>
    <t>Scheduled Hours Worked</t>
  </si>
  <si>
    <t>Scheduled Hours Paid</t>
  </si>
  <si>
    <t>Vaction</t>
  </si>
  <si>
    <t>Holiday Pay</t>
  </si>
  <si>
    <t>Holiday Premium</t>
  </si>
  <si>
    <t>Total Scheduled Hours Paid</t>
  </si>
  <si>
    <t>Hourly Wage</t>
  </si>
  <si>
    <t>Straight Time Burden</t>
  </si>
  <si>
    <t>Overtime Burden</t>
  </si>
  <si>
    <t>Cost of Scheduled Time</t>
  </si>
  <si>
    <t>Marginal Cost of Time</t>
  </si>
  <si>
    <t>Percent Worked</t>
  </si>
  <si>
    <t>Ratio Paid/Worked</t>
  </si>
  <si>
    <t>Built-in overtime</t>
  </si>
  <si>
    <t>3 12's Days</t>
  </si>
  <si>
    <t>Monday - Friday 8-hour</t>
  </si>
  <si>
    <t>Typical 24/7</t>
  </si>
  <si>
    <t>4-day 8's</t>
  </si>
  <si>
    <t>Bring to 40 hours</t>
  </si>
  <si>
    <t>3 x 12-hour</t>
  </si>
  <si>
    <t>Sick time</t>
  </si>
  <si>
    <t xml:space="preserve">Monday - Thursday </t>
  </si>
  <si>
    <t>Friday - Sunday</t>
  </si>
  <si>
    <t>Weighted 5 crew</t>
  </si>
  <si>
    <t>4 crew ot&gt;32</t>
  </si>
  <si>
    <t>42 ot&gt;32</t>
  </si>
  <si>
    <t>Crew</t>
  </si>
  <si>
    <t>Monday</t>
  </si>
  <si>
    <t>Tuesday</t>
  </si>
  <si>
    <t>Wednesday</t>
  </si>
  <si>
    <t>Thursday</t>
  </si>
  <si>
    <t>Friday</t>
  </si>
  <si>
    <t>Saturday</t>
  </si>
  <si>
    <t>Sunday</t>
  </si>
  <si>
    <t>Hours of Work</t>
  </si>
  <si>
    <t>A (8-hour days)</t>
  </si>
  <si>
    <t>B (8-hour eves)</t>
  </si>
  <si>
    <t>C (8-hour nights)</t>
  </si>
  <si>
    <t>D (12-hour days)</t>
  </si>
  <si>
    <t>E (12-hour nights)</t>
  </si>
  <si>
    <t>off</t>
  </si>
  <si>
    <t>8-hour</t>
  </si>
  <si>
    <t>12-hour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</si>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</sst>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"/>
    <numFmt numFmtId="166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27" xfId="0" applyFont="1" applyBorder="1" applyAlignment="1">
      <alignment horizontal="righ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right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right"/>
    </xf>
    <xf numFmtId="0" fontId="0" fillId="0" borderId="20" xfId="0" applyBorder="1" applyAlignment="1">
      <alignment horizontal="right"/>
    </xf>
    <xf numFmtId="0" fontId="3" fillId="0" borderId="3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5" xfId="2" applyNumberFormat="1" applyFont="1" applyBorder="1" applyAlignment="1">
      <alignment horizontal="center"/>
    </xf>
    <xf numFmtId="166" fontId="0" fillId="0" borderId="24" xfId="2" applyNumberFormat="1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164" fontId="0" fillId="0" borderId="37" xfId="1" applyNumberFormat="1" applyFont="1" applyBorder="1" applyAlignment="1">
      <alignment horizontal="center"/>
    </xf>
    <xf numFmtId="0" fontId="2" fillId="0" borderId="31" xfId="0" applyFont="1" applyBorder="1" applyAlignment="1">
      <alignment horizontal="right"/>
    </xf>
    <xf numFmtId="166" fontId="0" fillId="0" borderId="16" xfId="0" applyNumberFormat="1" applyBorder="1" applyAlignment="1">
      <alignment horizontal="center"/>
    </xf>
    <xf numFmtId="44" fontId="0" fillId="0" borderId="0" xfId="2" applyFont="1"/>
    <xf numFmtId="44" fontId="0" fillId="0" borderId="0" xfId="0" applyNumberFormat="1"/>
    <xf numFmtId="9" fontId="0" fillId="0" borderId="0" xfId="1" applyFont="1"/>
    <xf numFmtId="0" fontId="0" fillId="0" borderId="38" xfId="0" applyBorder="1" applyAlignment="1">
      <alignment horizontal="center"/>
    </xf>
    <xf numFmtId="1" fontId="0" fillId="0" borderId="29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64" fontId="0" fillId="0" borderId="27" xfId="1" applyNumberFormat="1" applyFon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0" fillId="2" borderId="2" xfId="0" applyFill="1" applyBorder="1"/>
    <xf numFmtId="166" fontId="0" fillId="2" borderId="4" xfId="0" applyNumberFormat="1" applyFill="1" applyBorder="1" applyAlignment="1">
      <alignment horizontal="center" vertical="center"/>
    </xf>
    <xf numFmtId="0" fontId="0" fillId="2" borderId="5" xfId="0" applyFill="1" applyBorder="1"/>
    <xf numFmtId="166" fontId="0" fillId="2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wrapText="1"/>
    </xf>
    <xf numFmtId="166" fontId="0" fillId="2" borderId="6" xfId="0" applyNumberFormat="1" applyFill="1" applyBorder="1" applyAlignment="1">
      <alignment horizontal="center"/>
    </xf>
    <xf numFmtId="0" fontId="0" fillId="2" borderId="7" xfId="0" applyFill="1" applyBorder="1"/>
    <xf numFmtId="166" fontId="0" fillId="2" borderId="9" xfId="0" applyNumberForma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" fontId="0" fillId="0" borderId="17" xfId="0" applyNumberFormat="1" applyBorder="1" applyAlignment="1">
      <alignment horizontal="center"/>
    </xf>
    <xf numFmtId="166" fontId="4" fillId="2" borderId="6" xfId="0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0" borderId="0" xfId="0" applyAlignment="1">
      <alignment horizontal="left"/>
    </xf>
    <xf numFmtId="0" fontId="5" fillId="6" borderId="18" xfId="0" applyFont="1" applyFill="1" applyBorder="1" applyAlignment="1">
      <alignment horizontal="left"/>
    </xf>
    <xf numFmtId="0" fontId="5" fillId="6" borderId="15" xfId="0" applyFont="1" applyFill="1" applyBorder="1" applyAlignment="1">
      <alignment horizontal="left"/>
    </xf>
    <xf numFmtId="0" fontId="5" fillId="6" borderId="16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5" fillId="3" borderId="4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46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B769-081B-40B9-9AB9-09ABA4B1A5DE}">
  <dimension ref="C1:P30"/>
  <sheetViews>
    <sheetView tabSelected="1" topLeftCell="C1" workbookViewId="0">
      <selection activeCell="Q20" sqref="Q20"/>
    </sheetView>
  </sheetViews>
  <sheetFormatPr defaultRowHeight="14.4" x14ac:dyDescent="0.3"/>
  <cols>
    <col min="3" max="3" width="27.109375" bestFit="1" customWidth="1"/>
    <col min="5" max="5" width="11.77734375" bestFit="1" customWidth="1"/>
    <col min="9" max="9" width="35.21875" bestFit="1" customWidth="1"/>
    <col min="10" max="11" width="10.5546875" bestFit="1" customWidth="1"/>
    <col min="12" max="12" width="11.21875" bestFit="1" customWidth="1"/>
    <col min="13" max="14" width="10" bestFit="1" customWidth="1"/>
    <col min="15" max="15" width="10.88671875" bestFit="1" customWidth="1"/>
  </cols>
  <sheetData>
    <row r="1" spans="3:16" ht="15" thickBot="1" x14ac:dyDescent="0.35">
      <c r="I1" s="16"/>
      <c r="J1" s="17" t="s">
        <v>12</v>
      </c>
      <c r="K1" s="21" t="s">
        <v>41</v>
      </c>
      <c r="L1" s="21" t="s">
        <v>43</v>
      </c>
      <c r="M1" s="18" t="s">
        <v>49</v>
      </c>
      <c r="N1" s="21" t="s">
        <v>38</v>
      </c>
      <c r="O1" s="21" t="s">
        <v>13</v>
      </c>
    </row>
    <row r="2" spans="3:16" ht="15" thickBot="1" x14ac:dyDescent="0.35">
      <c r="C2" s="1"/>
      <c r="D2" s="2"/>
      <c r="E2" s="5" t="s">
        <v>9</v>
      </c>
      <c r="F2" s="6" t="s">
        <v>10</v>
      </c>
      <c r="I2" s="15" t="s">
        <v>11</v>
      </c>
      <c r="J2" s="17">
        <v>2080</v>
      </c>
      <c r="K2" s="21">
        <f>52*32</f>
        <v>1664</v>
      </c>
      <c r="L2" s="21">
        <f>52*36</f>
        <v>1872</v>
      </c>
      <c r="M2" s="18">
        <f>52*42</f>
        <v>2184</v>
      </c>
      <c r="N2" s="21">
        <f>52*36</f>
        <v>1872</v>
      </c>
      <c r="O2" s="21">
        <f>182*12</f>
        <v>2184</v>
      </c>
    </row>
    <row r="3" spans="3:16" x14ac:dyDescent="0.3">
      <c r="C3" s="3" t="s">
        <v>0</v>
      </c>
      <c r="D3" s="67">
        <v>20</v>
      </c>
      <c r="E3" s="67"/>
      <c r="F3" s="68"/>
      <c r="I3" s="16" t="s">
        <v>14</v>
      </c>
      <c r="J3" s="11"/>
      <c r="K3" s="14"/>
      <c r="L3" s="14"/>
      <c r="M3" s="16"/>
      <c r="N3" s="11"/>
      <c r="O3" s="34"/>
    </row>
    <row r="4" spans="3:16" x14ac:dyDescent="0.3">
      <c r="C4" s="3" t="s">
        <v>1</v>
      </c>
      <c r="D4" s="67"/>
      <c r="E4" s="69">
        <f>0.06*0.85</f>
        <v>5.0999999999999997E-2</v>
      </c>
      <c r="F4" s="70">
        <f>0.06*0.85</f>
        <v>5.0999999999999997E-2</v>
      </c>
      <c r="I4" s="28" t="s">
        <v>15</v>
      </c>
      <c r="J4" s="12">
        <f>D16</f>
        <v>80.5</v>
      </c>
      <c r="K4" s="12">
        <f>D16</f>
        <v>80.5</v>
      </c>
      <c r="L4" s="12">
        <f>E16</f>
        <v>80.5</v>
      </c>
      <c r="M4" s="52">
        <f>D16</f>
        <v>80.5</v>
      </c>
      <c r="N4" s="12">
        <f>E16</f>
        <v>80.5</v>
      </c>
      <c r="O4" s="35">
        <f>D16</f>
        <v>80.5</v>
      </c>
    </row>
    <row r="5" spans="3:16" x14ac:dyDescent="0.3">
      <c r="C5" s="3" t="s">
        <v>2</v>
      </c>
      <c r="D5" s="67"/>
      <c r="E5" s="71">
        <v>0.01</v>
      </c>
      <c r="F5" s="72"/>
      <c r="I5" s="28" t="s">
        <v>16</v>
      </c>
      <c r="J5" s="12">
        <f>(D18-D19)*8</f>
        <v>40</v>
      </c>
      <c r="K5" s="24">
        <f>4/7*(D18-D19)*8</f>
        <v>22.857142857142854</v>
      </c>
      <c r="L5" s="24">
        <f>3/7*(D18-D19)*12</f>
        <v>25.714285714285715</v>
      </c>
      <c r="M5" s="61">
        <f>0.5*(D18-D19)*12</f>
        <v>30</v>
      </c>
      <c r="N5" s="24">
        <f>3/7*(E18-E19)*12</f>
        <v>25.714285714285715</v>
      </c>
      <c r="O5" s="36">
        <f>0.5*(D18-D19)*12</f>
        <v>30</v>
      </c>
    </row>
    <row r="6" spans="3:16" x14ac:dyDescent="0.3">
      <c r="C6" s="3" t="s">
        <v>3</v>
      </c>
      <c r="D6" s="67"/>
      <c r="E6" s="69">
        <v>7.6499999999999999E-2</v>
      </c>
      <c r="F6" s="70">
        <v>7.6499999999999999E-2</v>
      </c>
      <c r="I6" s="28" t="s">
        <v>44</v>
      </c>
      <c r="J6" s="12">
        <f>D17</f>
        <v>40</v>
      </c>
      <c r="K6" s="12">
        <f>D17</f>
        <v>40</v>
      </c>
      <c r="L6" s="12">
        <f>E17</f>
        <v>40</v>
      </c>
      <c r="M6" s="52">
        <f>D17</f>
        <v>40</v>
      </c>
      <c r="N6" s="12">
        <f>E17</f>
        <v>40</v>
      </c>
      <c r="O6" s="35">
        <f>D17</f>
        <v>40</v>
      </c>
    </row>
    <row r="7" spans="3:16" ht="15" thickBot="1" x14ac:dyDescent="0.35">
      <c r="C7" s="3" t="s">
        <v>4</v>
      </c>
      <c r="D7" s="67"/>
      <c r="E7" s="69">
        <v>2.5000000000000001E-2</v>
      </c>
      <c r="F7" s="70">
        <v>2.5000000000000001E-2</v>
      </c>
      <c r="I7" s="29"/>
      <c r="J7" s="13"/>
      <c r="K7" s="13"/>
      <c r="L7" s="13"/>
      <c r="M7" s="29"/>
      <c r="N7" s="13"/>
      <c r="O7" s="37"/>
    </row>
    <row r="8" spans="3:16" ht="15" thickBot="1" x14ac:dyDescent="0.35">
      <c r="C8" s="3" t="s">
        <v>5</v>
      </c>
      <c r="D8" s="67"/>
      <c r="E8" s="69">
        <f>1100/(2080*D3)</f>
        <v>2.6442307692307692E-2</v>
      </c>
      <c r="F8" s="70" t="s">
        <v>6</v>
      </c>
      <c r="I8" s="25" t="s">
        <v>24</v>
      </c>
      <c r="J8" s="40">
        <f t="shared" ref="J8:O8" si="0">J2-SUM(J4:J6)</f>
        <v>1919.5</v>
      </c>
      <c r="K8" s="40">
        <f t="shared" si="0"/>
        <v>1520.6428571428571</v>
      </c>
      <c r="L8" s="40">
        <f t="shared" si="0"/>
        <v>1725.7857142857142</v>
      </c>
      <c r="M8" s="62">
        <f t="shared" si="0"/>
        <v>2033.5</v>
      </c>
      <c r="N8" s="40">
        <f t="shared" si="0"/>
        <v>1725.7857142857142</v>
      </c>
      <c r="O8" s="40">
        <f t="shared" si="0"/>
        <v>2033.5</v>
      </c>
    </row>
    <row r="9" spans="3:16" ht="15" thickBot="1" x14ac:dyDescent="0.35">
      <c r="C9" s="3" t="s">
        <v>7</v>
      </c>
      <c r="D9" s="67"/>
      <c r="E9" s="69">
        <f>(7800*1.075)/(2080*D3)</f>
        <v>0.20156250000000001</v>
      </c>
      <c r="F9" s="68"/>
      <c r="I9" s="26" t="s">
        <v>35</v>
      </c>
      <c r="J9" s="41">
        <f>J8/J2</f>
        <v>0.92283653846153846</v>
      </c>
      <c r="K9" s="41">
        <f t="shared" ref="K9" si="1">K8/K2</f>
        <v>0.91384787087912089</v>
      </c>
      <c r="L9" s="41">
        <f t="shared" ref="L9" si="2">L8/L2</f>
        <v>0.92189407814407809</v>
      </c>
      <c r="M9" s="63">
        <f>M8/M2</f>
        <v>0.93108974358974361</v>
      </c>
      <c r="N9" s="41">
        <f>N8/N2</f>
        <v>0.92189407814407809</v>
      </c>
      <c r="O9" s="54">
        <f>O8/O2</f>
        <v>0.93108974358974361</v>
      </c>
    </row>
    <row r="10" spans="3:16" ht="15" thickBot="1" x14ac:dyDescent="0.35">
      <c r="C10" s="4"/>
      <c r="D10" s="73" t="s">
        <v>8</v>
      </c>
      <c r="E10" s="74">
        <f>SUM(E4:E9)</f>
        <v>0.39050480769230766</v>
      </c>
      <c r="F10" s="75">
        <f>SUM(F4:F9)</f>
        <v>0.1525</v>
      </c>
      <c r="I10" s="25" t="s">
        <v>25</v>
      </c>
      <c r="J10" s="21"/>
      <c r="K10" s="21"/>
      <c r="L10" s="21"/>
      <c r="M10" s="17"/>
      <c r="N10" s="21"/>
      <c r="O10" s="38"/>
    </row>
    <row r="11" spans="3:16" x14ac:dyDescent="0.3">
      <c r="I11" s="30" t="s">
        <v>26</v>
      </c>
      <c r="J11" s="14">
        <f>D16</f>
        <v>80.5</v>
      </c>
      <c r="K11" s="14">
        <f>D16</f>
        <v>80.5</v>
      </c>
      <c r="L11" s="14">
        <f>E16</f>
        <v>80.5</v>
      </c>
      <c r="M11" s="51">
        <f>D16</f>
        <v>80.5</v>
      </c>
      <c r="N11" s="14">
        <f>E16</f>
        <v>80.5</v>
      </c>
      <c r="O11" s="34">
        <f>D16</f>
        <v>80.5</v>
      </c>
    </row>
    <row r="12" spans="3:16" x14ac:dyDescent="0.3">
      <c r="I12" s="28" t="s">
        <v>44</v>
      </c>
      <c r="J12" s="12">
        <f>D17</f>
        <v>40</v>
      </c>
      <c r="K12" s="12">
        <f>D17</f>
        <v>40</v>
      </c>
      <c r="L12" s="12">
        <f>E17</f>
        <v>40</v>
      </c>
      <c r="M12" s="52">
        <f>D17</f>
        <v>40</v>
      </c>
      <c r="N12" s="12">
        <f>E17</f>
        <v>40</v>
      </c>
      <c r="O12" s="35">
        <f>D17</f>
        <v>40</v>
      </c>
    </row>
    <row r="13" spans="3:16" ht="15" thickBot="1" x14ac:dyDescent="0.35">
      <c r="I13" s="28" t="s">
        <v>37</v>
      </c>
      <c r="J13" s="24">
        <v>0</v>
      </c>
      <c r="K13" s="24">
        <v>0</v>
      </c>
      <c r="L13" s="24">
        <f>(4/36)*L8*0.5</f>
        <v>95.876984126984112</v>
      </c>
      <c r="M13" s="36">
        <f>(47/42-1)*M8</f>
        <v>242.08333333333337</v>
      </c>
      <c r="N13" s="24">
        <v>0</v>
      </c>
      <c r="O13" s="36">
        <f>(44/42-1)*O8</f>
        <v>96.833333333333442</v>
      </c>
      <c r="P13" t="s">
        <v>6</v>
      </c>
    </row>
    <row r="14" spans="3:16" ht="15" thickBot="1" x14ac:dyDescent="0.35">
      <c r="C14" s="8" t="s">
        <v>17</v>
      </c>
      <c r="D14" s="9" t="s">
        <v>18</v>
      </c>
      <c r="E14" s="10" t="s">
        <v>19</v>
      </c>
      <c r="I14" s="28" t="s">
        <v>27</v>
      </c>
      <c r="J14" s="12">
        <f>8*D18</f>
        <v>80</v>
      </c>
      <c r="K14" s="12">
        <f>D18*8</f>
        <v>80</v>
      </c>
      <c r="L14" s="12">
        <f>E18*8</f>
        <v>80</v>
      </c>
      <c r="M14" s="52">
        <f>K14</f>
        <v>80</v>
      </c>
      <c r="N14" s="12">
        <f>L14</f>
        <v>80</v>
      </c>
      <c r="O14" s="35">
        <f>M14</f>
        <v>80</v>
      </c>
      <c r="P14" t="s">
        <v>6</v>
      </c>
    </row>
    <row r="15" spans="3:16" x14ac:dyDescent="0.3">
      <c r="C15" s="16" t="s">
        <v>20</v>
      </c>
      <c r="D15" s="11">
        <f>D3</f>
        <v>20</v>
      </c>
      <c r="E15" s="60">
        <v>20</v>
      </c>
      <c r="I15" s="31" t="s">
        <v>42</v>
      </c>
      <c r="J15" s="13"/>
      <c r="K15" s="85">
        <f>(40/32-1)*K8</f>
        <v>380.16071428571428</v>
      </c>
      <c r="L15" s="85">
        <f>K15</f>
        <v>380.16071428571428</v>
      </c>
      <c r="M15" s="29"/>
      <c r="N15" s="13"/>
      <c r="O15" s="37"/>
    </row>
    <row r="16" spans="3:16" ht="15" thickBot="1" x14ac:dyDescent="0.35">
      <c r="C16" s="52" t="s">
        <v>15</v>
      </c>
      <c r="D16" s="14">
        <f t="shared" ref="D16:D17" si="3">E16</f>
        <v>80.5</v>
      </c>
      <c r="E16" s="35">
        <v>80.5</v>
      </c>
      <c r="I16" s="31" t="s">
        <v>28</v>
      </c>
      <c r="J16" s="13">
        <f>(D20-1)*D19*8</f>
        <v>40</v>
      </c>
      <c r="K16" s="85">
        <f>(D20-1)*D19*8*4/7</f>
        <v>22.857142857142858</v>
      </c>
      <c r="L16" s="85">
        <f>(D20-1)*3/7*D19*12</f>
        <v>25.714285714285715</v>
      </c>
      <c r="M16" s="29">
        <f>O16</f>
        <v>30</v>
      </c>
      <c r="N16" s="13">
        <f>(1-E20)*E19*12*3/7</f>
        <v>-25.714285714285715</v>
      </c>
      <c r="O16" s="13">
        <f>(D20-1)*D19*12*0.5</f>
        <v>30</v>
      </c>
    </row>
    <row r="17" spans="3:16" ht="15" thickBot="1" x14ac:dyDescent="0.35">
      <c r="C17" s="52" t="s">
        <v>21</v>
      </c>
      <c r="D17" s="14">
        <f t="shared" si="3"/>
        <v>40</v>
      </c>
      <c r="E17" s="35">
        <v>40</v>
      </c>
      <c r="I17" s="25" t="s">
        <v>29</v>
      </c>
      <c r="J17" s="45">
        <f t="shared" ref="J17:O17" si="4">J8+SUM(J11:J16)</f>
        <v>2160</v>
      </c>
      <c r="K17" s="45">
        <f t="shared" si="4"/>
        <v>2124.1607142857142</v>
      </c>
      <c r="L17" s="45">
        <f t="shared" si="4"/>
        <v>2428.0376984126983</v>
      </c>
      <c r="M17" s="64">
        <f t="shared" si="4"/>
        <v>2506.0833333333335</v>
      </c>
      <c r="N17" s="45">
        <f t="shared" si="4"/>
        <v>1900.5714285714284</v>
      </c>
      <c r="O17" s="45">
        <f t="shared" si="4"/>
        <v>2360.8333333333335</v>
      </c>
    </row>
    <row r="18" spans="3:16" x14ac:dyDescent="0.3">
      <c r="C18" s="52" t="s">
        <v>22</v>
      </c>
      <c r="D18" s="14">
        <v>10</v>
      </c>
      <c r="E18" s="14">
        <v>10</v>
      </c>
      <c r="I18" s="32" t="s">
        <v>36</v>
      </c>
      <c r="J18" s="42">
        <f t="shared" ref="J18:O18" si="5">J17/J8</f>
        <v>1.1252930450638188</v>
      </c>
      <c r="K18" s="49">
        <f t="shared" si="5"/>
        <v>1.3968833669970406</v>
      </c>
      <c r="L18" s="49">
        <f t="shared" si="5"/>
        <v>1.4069172541607458</v>
      </c>
      <c r="M18" s="19">
        <f t="shared" si="5"/>
        <v>1.2323989836898617</v>
      </c>
      <c r="N18" s="42">
        <f t="shared" si="5"/>
        <v>1.1012789205744795</v>
      </c>
      <c r="O18" s="49">
        <f t="shared" si="5"/>
        <v>1.1609704122612901</v>
      </c>
    </row>
    <row r="19" spans="3:16" x14ac:dyDescent="0.3">
      <c r="C19" s="52" t="s">
        <v>23</v>
      </c>
      <c r="D19" s="14">
        <v>5</v>
      </c>
      <c r="E19" s="14">
        <v>5</v>
      </c>
      <c r="I19" s="28" t="s">
        <v>30</v>
      </c>
      <c r="J19" s="47">
        <f>D15</f>
        <v>20</v>
      </c>
      <c r="K19" s="47">
        <f>D15</f>
        <v>20</v>
      </c>
      <c r="L19" s="47">
        <f>E15</f>
        <v>20</v>
      </c>
      <c r="M19" s="48">
        <f>D15</f>
        <v>20</v>
      </c>
      <c r="N19" s="47">
        <f>E15</f>
        <v>20</v>
      </c>
      <c r="O19" s="47">
        <f>D15</f>
        <v>20</v>
      </c>
    </row>
    <row r="20" spans="3:16" ht="15" thickBot="1" x14ac:dyDescent="0.35">
      <c r="C20" s="53" t="s">
        <v>28</v>
      </c>
      <c r="D20" s="27">
        <v>2</v>
      </c>
      <c r="E20" s="39">
        <v>2</v>
      </c>
      <c r="I20" s="28" t="s">
        <v>31</v>
      </c>
      <c r="J20" s="43">
        <f>E10</f>
        <v>0.39050480769230766</v>
      </c>
      <c r="K20" s="22">
        <f>E4+E6+E7+(E5+E8+E9)*J2/K2</f>
        <v>0.45000600961538462</v>
      </c>
      <c r="L20" s="22">
        <f>E4+E6+E7+(E5+E8+E9)*J2/L2</f>
        <v>0.4169497863247863</v>
      </c>
      <c r="M20" s="44">
        <f>E4+E6+E7+(E5+E8+E9)*J2/M2</f>
        <v>0.37917124542124542</v>
      </c>
      <c r="N20" s="22">
        <f>E4+E6+E7+(E5+E8+E9)*J2/N2</f>
        <v>0.4169497863247863</v>
      </c>
      <c r="O20" s="22">
        <f>E4+E6+E7+(E5+E8+E9)*J2/O2</f>
        <v>0.37917124542124542</v>
      </c>
    </row>
    <row r="21" spans="3:16" ht="15" thickBot="1" x14ac:dyDescent="0.35">
      <c r="C21" s="7"/>
      <c r="D21" s="7"/>
      <c r="E21" s="7"/>
      <c r="I21" s="31" t="s">
        <v>32</v>
      </c>
      <c r="J21" s="23">
        <f>F10</f>
        <v>0.1525</v>
      </c>
      <c r="K21" s="50">
        <f>F10</f>
        <v>0.1525</v>
      </c>
      <c r="L21" s="50">
        <f>F10</f>
        <v>0.1525</v>
      </c>
      <c r="M21" s="20">
        <f>F10</f>
        <v>0.1525</v>
      </c>
      <c r="N21" s="23">
        <f>F10</f>
        <v>0.1525</v>
      </c>
      <c r="O21" s="50">
        <f>F10</f>
        <v>0.1525</v>
      </c>
      <c r="P21" t="s">
        <v>6</v>
      </c>
    </row>
    <row r="22" spans="3:16" x14ac:dyDescent="0.3">
      <c r="C22" s="7"/>
      <c r="D22" s="7"/>
      <c r="E22" s="7"/>
      <c r="I22" s="33" t="s">
        <v>33</v>
      </c>
      <c r="J22" s="46">
        <f t="shared" ref="J22:O22" si="6">J19*J18*(1+J20)</f>
        <v>31.29450778447913</v>
      </c>
      <c r="K22" s="46">
        <f t="shared" si="6"/>
        <v>40.509785537549632</v>
      </c>
      <c r="L22" s="46">
        <f t="shared" si="6"/>
        <v>39.870622053194481</v>
      </c>
      <c r="M22" s="65">
        <f t="shared" si="6"/>
        <v>33.993784823828477</v>
      </c>
      <c r="N22" s="46">
        <f t="shared" si="6"/>
        <v>31.209138623840005</v>
      </c>
      <c r="O22" s="46">
        <f t="shared" si="6"/>
        <v>32.023540187512403</v>
      </c>
    </row>
    <row r="23" spans="3:16" ht="15" thickBot="1" x14ac:dyDescent="0.35">
      <c r="C23" s="7"/>
      <c r="D23" s="7"/>
      <c r="E23" s="7"/>
      <c r="I23" s="55" t="s">
        <v>34</v>
      </c>
      <c r="J23" s="56">
        <f>J19*1.5*(1+J21)</f>
        <v>34.575000000000003</v>
      </c>
      <c r="K23" s="56">
        <f>K19*1.5*(1+K21)</f>
        <v>34.575000000000003</v>
      </c>
      <c r="L23" s="56">
        <f>L19*1.5*(1+L21)</f>
        <v>34.575000000000003</v>
      </c>
      <c r="M23" s="66">
        <f t="shared" ref="M23" si="7">M19*1.5*(1+M21)</f>
        <v>34.575000000000003</v>
      </c>
      <c r="N23" s="56">
        <f t="shared" ref="N23" si="8">N19*1.5*(1+N21)</f>
        <v>34.575000000000003</v>
      </c>
      <c r="O23" s="56">
        <f>O19*1.5*(1+O21)</f>
        <v>34.575000000000003</v>
      </c>
    </row>
    <row r="24" spans="3:16" ht="15" thickBot="1" x14ac:dyDescent="0.35">
      <c r="I24" s="7" t="s">
        <v>6</v>
      </c>
      <c r="J24" s="7"/>
      <c r="K24" s="7"/>
      <c r="L24" s="7"/>
      <c r="M24" s="7"/>
    </row>
    <row r="25" spans="3:16" x14ac:dyDescent="0.3">
      <c r="I25" s="76" t="s">
        <v>39</v>
      </c>
      <c r="J25" s="77">
        <f>J22</f>
        <v>31.29450778447913</v>
      </c>
      <c r="K25" s="57" t="s">
        <v>6</v>
      </c>
    </row>
    <row r="26" spans="3:16" x14ac:dyDescent="0.3">
      <c r="I26" s="78" t="s">
        <v>45</v>
      </c>
      <c r="J26" s="79">
        <f>K22</f>
        <v>40.509785537549632</v>
      </c>
      <c r="K26" s="58" t="s">
        <v>6</v>
      </c>
    </row>
    <row r="27" spans="3:16" x14ac:dyDescent="0.3">
      <c r="I27" s="80" t="s">
        <v>46</v>
      </c>
      <c r="J27" s="79">
        <f>L22</f>
        <v>39.870622053194481</v>
      </c>
    </row>
    <row r="28" spans="3:16" x14ac:dyDescent="0.3">
      <c r="I28" s="78" t="s">
        <v>40</v>
      </c>
      <c r="J28" s="86">
        <f>O22</f>
        <v>32.023540187512403</v>
      </c>
      <c r="K28" s="84" t="s">
        <v>6</v>
      </c>
    </row>
    <row r="29" spans="3:16" x14ac:dyDescent="0.3">
      <c r="I29" s="78" t="s">
        <v>47</v>
      </c>
      <c r="J29" s="81">
        <f>(4*J26+3*J27)/7</f>
        <v>40.235858329968849</v>
      </c>
      <c r="K29" s="59">
        <f>J29/J28</f>
        <v>1.2564462921453901</v>
      </c>
      <c r="N29" s="59"/>
    </row>
    <row r="30" spans="3:16" ht="15" thickBot="1" x14ac:dyDescent="0.35">
      <c r="I30" s="82" t="s">
        <v>48</v>
      </c>
      <c r="J30" s="83">
        <f>M22</f>
        <v>33.993784823828477</v>
      </c>
      <c r="K30" s="59">
        <f>J30/J28</f>
        <v>1.0615248852806216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284B-DC70-49C7-89E0-226DD3021821}">
  <dimension ref="D2:L15"/>
  <sheetViews>
    <sheetView workbookViewId="0">
      <selection activeCell="D3" sqref="D3:L9"/>
    </sheetView>
  </sheetViews>
  <sheetFormatPr defaultRowHeight="14.4" x14ac:dyDescent="0.3"/>
  <cols>
    <col min="4" max="4" width="16.109375" bestFit="1" customWidth="1"/>
    <col min="7" max="7" width="10.44140625" bestFit="1" customWidth="1"/>
    <col min="12" max="12" width="12.88671875" bestFit="1" customWidth="1"/>
  </cols>
  <sheetData>
    <row r="2" spans="4:12" ht="15" thickBot="1" x14ac:dyDescent="0.35"/>
    <row r="3" spans="4:12" ht="15" thickBot="1" x14ac:dyDescent="0.35">
      <c r="D3" s="21" t="s">
        <v>50</v>
      </c>
      <c r="E3" s="92" t="s">
        <v>51</v>
      </c>
      <c r="F3" s="93" t="s">
        <v>52</v>
      </c>
      <c r="G3" s="93" t="s">
        <v>53</v>
      </c>
      <c r="H3" s="93" t="s">
        <v>54</v>
      </c>
      <c r="I3" s="93" t="s">
        <v>55</v>
      </c>
      <c r="J3" s="93" t="s">
        <v>56</v>
      </c>
      <c r="K3" s="93" t="s">
        <v>57</v>
      </c>
      <c r="L3" s="10" t="s">
        <v>58</v>
      </c>
    </row>
    <row r="4" spans="4:12" x14ac:dyDescent="0.3">
      <c r="D4" s="95" t="s">
        <v>59</v>
      </c>
      <c r="E4" s="98" t="s">
        <v>65</v>
      </c>
      <c r="F4" s="99" t="s">
        <v>65</v>
      </c>
      <c r="G4" s="99" t="s">
        <v>65</v>
      </c>
      <c r="H4" s="99" t="s">
        <v>65</v>
      </c>
      <c r="I4" s="87" t="s">
        <v>64</v>
      </c>
      <c r="J4" s="87" t="s">
        <v>64</v>
      </c>
      <c r="K4" s="90" t="s">
        <v>64</v>
      </c>
      <c r="L4" s="108">
        <v>32</v>
      </c>
    </row>
    <row r="5" spans="4:12" x14ac:dyDescent="0.3">
      <c r="D5" s="96" t="s">
        <v>60</v>
      </c>
      <c r="E5" s="100" t="s">
        <v>65</v>
      </c>
      <c r="F5" s="101" t="s">
        <v>65</v>
      </c>
      <c r="G5" s="101" t="s">
        <v>65</v>
      </c>
      <c r="H5" s="101" t="s">
        <v>65</v>
      </c>
      <c r="I5" s="67" t="s">
        <v>64</v>
      </c>
      <c r="J5" s="67" t="s">
        <v>64</v>
      </c>
      <c r="K5" s="91" t="s">
        <v>64</v>
      </c>
      <c r="L5" s="109">
        <v>32</v>
      </c>
    </row>
    <row r="6" spans="4:12" x14ac:dyDescent="0.3">
      <c r="D6" s="96" t="s">
        <v>61</v>
      </c>
      <c r="E6" s="102" t="s">
        <v>65</v>
      </c>
      <c r="F6" s="103" t="s">
        <v>65</v>
      </c>
      <c r="G6" s="103" t="s">
        <v>65</v>
      </c>
      <c r="H6" s="103" t="s">
        <v>65</v>
      </c>
      <c r="I6" s="67" t="s">
        <v>64</v>
      </c>
      <c r="J6" s="67" t="s">
        <v>64</v>
      </c>
      <c r="K6" s="91" t="s">
        <v>64</v>
      </c>
      <c r="L6" s="109">
        <v>32</v>
      </c>
    </row>
    <row r="7" spans="4:12" x14ac:dyDescent="0.3">
      <c r="D7" s="96" t="s">
        <v>62</v>
      </c>
      <c r="E7" s="88" t="s">
        <v>64</v>
      </c>
      <c r="F7" s="67" t="s">
        <v>64</v>
      </c>
      <c r="G7" s="67" t="s">
        <v>64</v>
      </c>
      <c r="H7" s="67" t="s">
        <v>64</v>
      </c>
      <c r="I7" s="104" t="s">
        <v>66</v>
      </c>
      <c r="J7" s="104" t="s">
        <v>66</v>
      </c>
      <c r="K7" s="105" t="s">
        <v>66</v>
      </c>
      <c r="L7" s="109">
        <v>36</v>
      </c>
    </row>
    <row r="8" spans="4:12" ht="15" thickBot="1" x14ac:dyDescent="0.35">
      <c r="D8" s="97" t="s">
        <v>63</v>
      </c>
      <c r="E8" s="89" t="s">
        <v>64</v>
      </c>
      <c r="F8" s="73" t="s">
        <v>64</v>
      </c>
      <c r="G8" s="73" t="s">
        <v>64</v>
      </c>
      <c r="H8" s="73" t="s">
        <v>64</v>
      </c>
      <c r="I8" s="106" t="s">
        <v>66</v>
      </c>
      <c r="J8" s="106" t="s">
        <v>66</v>
      </c>
      <c r="K8" s="107" t="s">
        <v>66</v>
      </c>
      <c r="L8" s="110">
        <v>36</v>
      </c>
    </row>
    <row r="9" spans="4:12" ht="15" thickBot="1" x14ac:dyDescent="0.35">
      <c r="D9" s="7"/>
      <c r="E9" s="7"/>
      <c r="F9" s="7"/>
      <c r="G9" s="7"/>
      <c r="H9" s="7"/>
      <c r="I9" s="7"/>
      <c r="J9" s="7"/>
      <c r="K9" s="21" t="s">
        <v>67</v>
      </c>
      <c r="L9" s="111">
        <f>AVERAGE(L4:L8)</f>
        <v>33.6</v>
      </c>
    </row>
    <row r="15" spans="4:12" x14ac:dyDescent="0.3">
      <c r="E15" s="94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of Time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Dillingham</dc:creator>
  <cp:lastModifiedBy>James Dillingham</cp:lastModifiedBy>
  <dcterms:created xsi:type="dcterms:W3CDTF">2023-02-08T14:47:41Z</dcterms:created>
  <dcterms:modified xsi:type="dcterms:W3CDTF">2023-06-08T16:27:20Z</dcterms:modified>
</cp:coreProperties>
</file>