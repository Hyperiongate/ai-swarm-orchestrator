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\OneDrive\Desktop\Project Administration\"/>
    </mc:Choice>
  </mc:AlternateContent>
  <xr:revisionPtr revIDLastSave="0" documentId="8_{D357094D-E15A-4E4C-BCB2-013E73FC308C}" xr6:coauthVersionLast="47" xr6:coauthVersionMax="47" xr10:uidLastSave="{00000000-0000-0000-0000-000000000000}"/>
  <bookViews>
    <workbookView xWindow="-103" yWindow="-103" windowWidth="22149" windowHeight="13200" xr2:uid="{A60614B4-353B-44E0-ACD6-E390B3F80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5" i="1"/>
  <c r="P16" i="1"/>
  <c r="P17" i="1"/>
  <c r="P18" i="1"/>
  <c r="P19" i="1"/>
  <c r="P20" i="1"/>
  <c r="P21" i="1"/>
  <c r="P22" i="1"/>
  <c r="P13" i="1"/>
  <c r="V14" i="1"/>
  <c r="V15" i="1"/>
  <c r="V16" i="1"/>
  <c r="V17" i="1"/>
  <c r="V18" i="1"/>
  <c r="V19" i="1"/>
  <c r="V20" i="1"/>
  <c r="V21" i="1"/>
  <c r="V22" i="1"/>
  <c r="V13" i="1"/>
  <c r="M22" i="1"/>
  <c r="M21" i="1"/>
  <c r="M20" i="1"/>
  <c r="M19" i="1"/>
  <c r="M18" i="1"/>
  <c r="M17" i="1"/>
  <c r="M16" i="1"/>
  <c r="M15" i="1"/>
  <c r="M14" i="1"/>
  <c r="M13" i="1"/>
  <c r="J18" i="1"/>
  <c r="I18" i="1"/>
  <c r="J25" i="1"/>
  <c r="I25" i="1"/>
  <c r="J6" i="1"/>
  <c r="J17" i="1" s="1"/>
  <c r="I6" i="1"/>
  <c r="J8" i="1"/>
  <c r="I8" i="1"/>
  <c r="J7" i="1"/>
  <c r="I7" i="1"/>
  <c r="J4" i="1"/>
  <c r="J15" i="1" s="1"/>
  <c r="I4" i="1"/>
  <c r="I15" i="1" s="1"/>
  <c r="N7" i="1"/>
  <c r="M7" i="1"/>
  <c r="M6" i="1"/>
  <c r="N4" i="1"/>
  <c r="M4" i="1"/>
  <c r="N3" i="1"/>
  <c r="M3" i="1"/>
  <c r="B29" i="1" l="1"/>
  <c r="B28" i="1"/>
  <c r="J10" i="1"/>
  <c r="I17" i="1"/>
  <c r="I10" i="1"/>
  <c r="I13" i="1" l="1"/>
  <c r="I19" i="1"/>
  <c r="J13" i="1"/>
  <c r="J19" i="1"/>
  <c r="J16" i="1" l="1"/>
  <c r="J21" i="1" s="1"/>
  <c r="I16" i="1"/>
  <c r="I21" i="1" s="1"/>
  <c r="I23" i="1" l="1"/>
  <c r="J23" i="1"/>
  <c r="O9" i="1"/>
  <c r="I27" i="1" s="1"/>
  <c r="P9" i="1"/>
  <c r="J27" i="1" s="1"/>
  <c r="I30" i="1" l="1"/>
  <c r="I31" i="1"/>
  <c r="J30" i="1"/>
  <c r="J31" i="1"/>
  <c r="M9" i="1"/>
  <c r="N9" i="1"/>
  <c r="J26" i="1" l="1"/>
  <c r="J29" i="1" s="1"/>
  <c r="I26" i="1"/>
  <c r="I29" i="1" s="1"/>
  <c r="B27" i="1" l="1"/>
</calcChain>
</file>

<file path=xl/sharedStrings.xml><?xml version="1.0" encoding="utf-8"?>
<sst xmlns="http://schemas.openxmlformats.org/spreadsheetml/2006/main" count="146" uniqueCount="62">
  <si>
    <t>Item</t>
  </si>
  <si>
    <t>Legacy</t>
  </si>
  <si>
    <t>New Hire</t>
  </si>
  <si>
    <t xml:space="preserve"> </t>
  </si>
  <si>
    <t>Med etc</t>
  </si>
  <si>
    <t>Life/STD</t>
  </si>
  <si>
    <t>S&amp;I</t>
  </si>
  <si>
    <t>Pension</t>
  </si>
  <si>
    <t>retire health</t>
  </si>
  <si>
    <t>FICA</t>
  </si>
  <si>
    <t>Sum</t>
  </si>
  <si>
    <t>OT</t>
  </si>
  <si>
    <t>ST</t>
  </si>
  <si>
    <t>Scheduled Hours</t>
  </si>
  <si>
    <t>Less</t>
  </si>
  <si>
    <t>Vacation</t>
  </si>
  <si>
    <t>Scheduled Hours Worked</t>
  </si>
  <si>
    <t>Scheduled Hours Paid</t>
  </si>
  <si>
    <t>Plus</t>
  </si>
  <si>
    <t>Holiday Pay</t>
  </si>
  <si>
    <t xml:space="preserve">Scheduled Hours Paid </t>
  </si>
  <si>
    <t>Ratio of Paid:Work</t>
  </si>
  <si>
    <t>Average Wage</t>
  </si>
  <si>
    <t>Scheduled Hours Burden</t>
  </si>
  <si>
    <t>Regular Overtime Burden</t>
  </si>
  <si>
    <t>Cost of Overtime (1.5)</t>
  </si>
  <si>
    <t>New</t>
  </si>
  <si>
    <t>Holidays Not worked (13/11)</t>
  </si>
  <si>
    <t>Birthday</t>
  </si>
  <si>
    <t>Vacation weeks</t>
  </si>
  <si>
    <t>Yes</t>
  </si>
  <si>
    <t>No</t>
  </si>
  <si>
    <t>Other PTO</t>
  </si>
  <si>
    <t>Unpaid time off</t>
  </si>
  <si>
    <t xml:space="preserve">Shift length (8 or 12) </t>
  </si>
  <si>
    <t>Number of crews (3 or 4)</t>
  </si>
  <si>
    <t>1.5x after 8 hours (Yes or No)</t>
  </si>
  <si>
    <t>2.0x on Sunday (Yes or No)</t>
  </si>
  <si>
    <t xml:space="preserve">Percent legacy </t>
  </si>
  <si>
    <t>Number of positions per shift to fill</t>
  </si>
  <si>
    <t>Annual Labor Cost</t>
  </si>
  <si>
    <t>Annual Income Legacy</t>
  </si>
  <si>
    <t>Annual Income New</t>
  </si>
  <si>
    <t>Shift Premium</t>
  </si>
  <si>
    <t>2.0x after 8 hours (Yes or No)</t>
  </si>
  <si>
    <t>Condition ===&gt;</t>
  </si>
  <si>
    <t>Condition (1 - 10)</t>
  </si>
  <si>
    <t xml:space="preserve">Built-In Overtime </t>
  </si>
  <si>
    <t>Condition</t>
  </si>
  <si>
    <t>Multiplier</t>
  </si>
  <si>
    <t>3 crew</t>
  </si>
  <si>
    <t>4 Crew 12-Hour</t>
  </si>
  <si>
    <t>4 Crew 8-Hour</t>
  </si>
  <si>
    <t>Built-In OT</t>
  </si>
  <si>
    <t>1.5x on Sat(+Sun) (Yes or No)</t>
  </si>
  <si>
    <t>2.0x on Sat (+Sun) after 8 (Yes or No)</t>
  </si>
  <si>
    <t>conditional</t>
  </si>
  <si>
    <t>Cost of Overtime (2.0)</t>
  </si>
  <si>
    <t>Cost of Scheduled time</t>
  </si>
  <si>
    <t>Before unscheduled overtime</t>
  </si>
  <si>
    <t>Weekly Pay-hours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</si>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</sst>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0.0%"/>
    <numFmt numFmtId="167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9" tint="-0.249977111117893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Arial"/>
      <family val="2"/>
    </font>
    <font>
      <b/>
      <sz val="14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13" xfId="0" applyFill="1" applyBorder="1"/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5" fillId="4" borderId="16" xfId="0" applyFont="1" applyFill="1" applyBorder="1"/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6" xfId="0" applyFill="1" applyBorder="1" applyAlignment="1">
      <alignment horizontal="left"/>
    </xf>
    <xf numFmtId="1" fontId="0" fillId="4" borderId="17" xfId="0" applyNumberFormat="1" applyFill="1" applyBorder="1" applyAlignment="1">
      <alignment horizontal="center"/>
    </xf>
    <xf numFmtId="1" fontId="0" fillId="4" borderId="18" xfId="0" applyNumberFormat="1" applyFill="1" applyBorder="1" applyAlignment="1">
      <alignment horizontal="center"/>
    </xf>
    <xf numFmtId="0" fontId="5" fillId="4" borderId="16" xfId="0" applyFont="1" applyFill="1" applyBorder="1" applyAlignment="1">
      <alignment horizontal="left"/>
    </xf>
    <xf numFmtId="0" fontId="0" fillId="4" borderId="16" xfId="0" applyFill="1" applyBorder="1"/>
    <xf numFmtId="0" fontId="6" fillId="4" borderId="16" xfId="0" applyFont="1" applyFill="1" applyBorder="1" applyAlignment="1">
      <alignment horizontal="right"/>
    </xf>
    <xf numFmtId="164" fontId="0" fillId="4" borderId="17" xfId="0" applyNumberFormat="1" applyFill="1" applyBorder="1" applyAlignment="1">
      <alignment horizontal="center"/>
    </xf>
    <xf numFmtId="164" fontId="0" fillId="4" borderId="18" xfId="0" applyNumberFormat="1" applyFill="1" applyBorder="1" applyAlignment="1">
      <alignment horizontal="center"/>
    </xf>
    <xf numFmtId="166" fontId="0" fillId="4" borderId="17" xfId="1" applyNumberFormat="1" applyFont="1" applyFill="1" applyBorder="1" applyAlignment="1">
      <alignment horizontal="center"/>
    </xf>
    <xf numFmtId="166" fontId="0" fillId="4" borderId="17" xfId="0" applyNumberFormat="1" applyFill="1" applyBorder="1" applyAlignment="1">
      <alignment horizontal="center"/>
    </xf>
    <xf numFmtId="166" fontId="0" fillId="4" borderId="18" xfId="0" applyNumberFormat="1" applyFill="1" applyBorder="1" applyAlignment="1">
      <alignment horizontal="center"/>
    </xf>
    <xf numFmtId="0" fontId="0" fillId="4" borderId="19" xfId="0" applyFill="1" applyBorder="1"/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9" fontId="2" fillId="0" borderId="17" xfId="1" applyFont="1" applyBorder="1" applyAlignment="1">
      <alignment horizontal="center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9" fontId="0" fillId="0" borderId="2" xfId="1" applyFon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1" fillId="4" borderId="16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65" fontId="12" fillId="4" borderId="1" xfId="2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165" fontId="12" fillId="4" borderId="3" xfId="2" applyNumberFormat="1" applyFont="1" applyFill="1" applyBorder="1" applyAlignment="1">
      <alignment horizontal="center"/>
    </xf>
    <xf numFmtId="165" fontId="12" fillId="4" borderId="4" xfId="2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left"/>
    </xf>
    <xf numFmtId="165" fontId="12" fillId="4" borderId="6" xfId="2" applyNumberFormat="1" applyFont="1" applyFill="1" applyBorder="1" applyAlignment="1">
      <alignment horizontal="center"/>
    </xf>
    <xf numFmtId="0" fontId="7" fillId="4" borderId="7" xfId="0" applyFont="1" applyFill="1" applyBorder="1" applyAlignment="1">
      <alignment horizontal="left"/>
    </xf>
    <xf numFmtId="165" fontId="12" fillId="4" borderId="8" xfId="2" applyNumberFormat="1" applyFont="1" applyFill="1" applyBorder="1" applyAlignment="1">
      <alignment horizontal="center"/>
    </xf>
    <xf numFmtId="167" fontId="13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34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165" fontId="10" fillId="4" borderId="17" xfId="2" applyNumberFormat="1" applyFont="1" applyFill="1" applyBorder="1" applyAlignment="1">
      <alignment horizontal="center"/>
    </xf>
    <xf numFmtId="165" fontId="10" fillId="4" borderId="18" xfId="2" applyNumberFormat="1" applyFont="1" applyFill="1" applyBorder="1" applyAlignment="1">
      <alignment horizontal="center"/>
    </xf>
    <xf numFmtId="166" fontId="10" fillId="0" borderId="11" xfId="0" applyNumberFormat="1" applyFont="1" applyBorder="1" applyAlignment="1">
      <alignment horizontal="center"/>
    </xf>
    <xf numFmtId="166" fontId="10" fillId="0" borderId="12" xfId="0" applyNumberFormat="1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78B7-3F1F-4985-8001-017EEF7E07AF}">
  <dimension ref="A1:V31"/>
  <sheetViews>
    <sheetView tabSelected="1" workbookViewId="0">
      <selection activeCell="I29" sqref="I29"/>
    </sheetView>
  </sheetViews>
  <sheetFormatPr defaultColWidth="8.84375" defaultRowHeight="14.6" x14ac:dyDescent="0.4"/>
  <cols>
    <col min="1" max="1" width="31.4609375" style="1" bestFit="1" customWidth="1"/>
    <col min="2" max="2" width="18.765625" style="1" bestFit="1" customWidth="1"/>
    <col min="3" max="3" width="11.07421875" style="1" customWidth="1"/>
    <col min="4" max="7" width="8.84375" style="1"/>
    <col min="8" max="8" width="28.23046875" style="1" bestFit="1" customWidth="1"/>
    <col min="9" max="9" width="12.53515625" style="1" bestFit="1" customWidth="1"/>
    <col min="10" max="10" width="16.53515625" style="1" bestFit="1" customWidth="1"/>
    <col min="11" max="11" width="8.84375" style="1"/>
    <col min="12" max="12" width="11" style="1" bestFit="1" customWidth="1"/>
    <col min="13" max="13" width="12.3046875" style="1" customWidth="1"/>
    <col min="14" max="15" width="13.84375" style="1" bestFit="1" customWidth="1"/>
    <col min="16" max="16" width="10.07421875" style="1" bestFit="1" customWidth="1"/>
    <col min="17" max="18" width="8.84375" style="1"/>
    <col min="19" max="22" width="15.69140625" style="1" bestFit="1" customWidth="1"/>
    <col min="23" max="16384" width="8.84375" style="1"/>
  </cols>
  <sheetData>
    <row r="1" spans="1:22" ht="18.899999999999999" thickBot="1" x14ac:dyDescent="0.55000000000000004">
      <c r="A1" s="42" t="s">
        <v>45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H1" s="13"/>
      <c r="I1" s="14" t="s">
        <v>1</v>
      </c>
      <c r="J1" s="15" t="s">
        <v>26</v>
      </c>
      <c r="L1" s="1" t="s">
        <v>3</v>
      </c>
      <c r="M1" s="9" t="s">
        <v>1</v>
      </c>
      <c r="N1" s="6" t="s">
        <v>2</v>
      </c>
      <c r="O1" s="6" t="s">
        <v>1</v>
      </c>
      <c r="P1" s="7" t="s">
        <v>2</v>
      </c>
    </row>
    <row r="2" spans="1:22" ht="15.9" thickBot="1" x14ac:dyDescent="0.45">
      <c r="A2" s="45" t="s">
        <v>36</v>
      </c>
      <c r="B2" s="47" t="s">
        <v>31</v>
      </c>
      <c r="C2" s="68" t="s">
        <v>30</v>
      </c>
      <c r="D2" s="68" t="s">
        <v>30</v>
      </c>
      <c r="E2" s="68" t="s">
        <v>30</v>
      </c>
      <c r="F2" s="69" t="s">
        <v>30</v>
      </c>
      <c r="H2" s="16" t="s">
        <v>13</v>
      </c>
      <c r="I2" s="17">
        <v>2080</v>
      </c>
      <c r="J2" s="18">
        <v>2080</v>
      </c>
      <c r="L2" s="8" t="s">
        <v>0</v>
      </c>
      <c r="M2" s="12" t="s">
        <v>12</v>
      </c>
      <c r="N2" s="10" t="s">
        <v>12</v>
      </c>
      <c r="O2" s="10" t="s">
        <v>11</v>
      </c>
      <c r="P2" s="11" t="s">
        <v>11</v>
      </c>
    </row>
    <row r="3" spans="1:22" ht="15.45" x14ac:dyDescent="0.4">
      <c r="A3" s="45" t="s">
        <v>44</v>
      </c>
      <c r="B3" s="48" t="s">
        <v>31</v>
      </c>
      <c r="C3" s="46" t="s">
        <v>31</v>
      </c>
      <c r="D3" s="46" t="s">
        <v>31</v>
      </c>
      <c r="E3" s="46" t="s">
        <v>31</v>
      </c>
      <c r="F3" s="49" t="s">
        <v>31</v>
      </c>
      <c r="H3" s="74" t="s">
        <v>14</v>
      </c>
      <c r="I3" s="17"/>
      <c r="J3" s="18"/>
      <c r="L3" s="56" t="s">
        <v>4</v>
      </c>
      <c r="M3" s="58">
        <f>29450/(B17*2080)</f>
        <v>0.45939824289921632</v>
      </c>
      <c r="N3" s="59">
        <f>11823/(C17*2080)</f>
        <v>0.26170048873778157</v>
      </c>
      <c r="O3" s="60"/>
      <c r="P3" s="61"/>
    </row>
    <row r="4" spans="1:22" x14ac:dyDescent="0.4">
      <c r="A4" s="45" t="s">
        <v>54</v>
      </c>
      <c r="B4" s="48" t="s">
        <v>31</v>
      </c>
      <c r="C4" s="46" t="s">
        <v>31</v>
      </c>
      <c r="D4" s="70" t="s">
        <v>30</v>
      </c>
      <c r="E4" s="70" t="s">
        <v>30</v>
      </c>
      <c r="F4" s="71" t="s">
        <v>30</v>
      </c>
      <c r="H4" s="19" t="s">
        <v>15</v>
      </c>
      <c r="I4" s="17">
        <f>B18*40</f>
        <v>160</v>
      </c>
      <c r="J4" s="18">
        <f>C18*40</f>
        <v>40</v>
      </c>
      <c r="L4" s="56" t="s">
        <v>5</v>
      </c>
      <c r="M4" s="62">
        <f>490/(B17*2080)</f>
        <v>7.6436379973044482E-3</v>
      </c>
      <c r="N4" s="3">
        <f>590/(C17*2080)</f>
        <v>1.3059569344099731E-2</v>
      </c>
      <c r="O4" s="2"/>
      <c r="P4" s="4"/>
    </row>
    <row r="5" spans="1:22" x14ac:dyDescent="0.4">
      <c r="A5" s="45" t="s">
        <v>55</v>
      </c>
      <c r="B5" s="48" t="s">
        <v>31</v>
      </c>
      <c r="C5" s="46" t="s">
        <v>31</v>
      </c>
      <c r="D5" s="46" t="s">
        <v>31</v>
      </c>
      <c r="E5" s="70" t="s">
        <v>30</v>
      </c>
      <c r="F5" s="71" t="s">
        <v>30</v>
      </c>
      <c r="H5" s="19" t="s">
        <v>27</v>
      </c>
      <c r="I5" s="17">
        <v>104</v>
      </c>
      <c r="J5" s="21">
        <v>88</v>
      </c>
      <c r="L5" s="56" t="s">
        <v>6</v>
      </c>
      <c r="M5" s="62">
        <v>0</v>
      </c>
      <c r="N5" s="3">
        <v>0.04</v>
      </c>
      <c r="O5" s="2"/>
      <c r="P5" s="5">
        <v>0.04</v>
      </c>
    </row>
    <row r="6" spans="1:22" ht="15" thickBot="1" x14ac:dyDescent="0.45">
      <c r="A6" s="45" t="s">
        <v>37</v>
      </c>
      <c r="B6" s="50" t="s">
        <v>31</v>
      </c>
      <c r="C6" s="51" t="s">
        <v>31</v>
      </c>
      <c r="D6" s="51" t="s">
        <v>31</v>
      </c>
      <c r="E6" s="51" t="s">
        <v>31</v>
      </c>
      <c r="F6" s="72" t="s">
        <v>30</v>
      </c>
      <c r="H6" s="19" t="s">
        <v>28</v>
      </c>
      <c r="I6" s="17">
        <f>IF(B19="no",0,IF(B24=8,8,12))</f>
        <v>8</v>
      </c>
      <c r="J6" s="17">
        <f>IF(C19="no",0,IF(#REF!=8,8,12))</f>
        <v>0</v>
      </c>
      <c r="L6" s="56" t="s">
        <v>7</v>
      </c>
      <c r="M6" s="62">
        <f>12539/(B17*2080)</f>
        <v>0.19559913642489893</v>
      </c>
      <c r="N6" s="3">
        <v>0</v>
      </c>
      <c r="O6" s="2"/>
      <c r="P6" s="4"/>
    </row>
    <row r="7" spans="1:22" x14ac:dyDescent="0.4">
      <c r="A7" s="42"/>
      <c r="B7" s="43"/>
      <c r="C7" s="43"/>
      <c r="D7" s="43"/>
      <c r="E7" s="43"/>
      <c r="F7" s="44"/>
      <c r="H7" s="19" t="s">
        <v>32</v>
      </c>
      <c r="I7" s="17">
        <f>B20</f>
        <v>5</v>
      </c>
      <c r="J7" s="18">
        <f>C20</f>
        <v>2</v>
      </c>
      <c r="L7" s="56" t="s">
        <v>8</v>
      </c>
      <c r="M7" s="62">
        <f>2491/(B17*2080)</f>
        <v>3.8857759696500772E-2</v>
      </c>
      <c r="N7" s="3">
        <f>2208/(C17*2080)</f>
        <v>4.887377815554611E-2</v>
      </c>
      <c r="O7" s="2"/>
      <c r="P7" s="4"/>
    </row>
    <row r="8" spans="1:22" ht="15" thickBot="1" x14ac:dyDescent="0.45">
      <c r="A8" s="42" t="s">
        <v>45</v>
      </c>
      <c r="B8" s="1">
        <v>6</v>
      </c>
      <c r="C8" s="1">
        <v>7</v>
      </c>
      <c r="D8" s="1">
        <v>8</v>
      </c>
      <c r="E8" s="1">
        <v>9</v>
      </c>
      <c r="F8" s="1">
        <v>10</v>
      </c>
      <c r="H8" s="19" t="s">
        <v>33</v>
      </c>
      <c r="I8" s="17">
        <f>B21</f>
        <v>0</v>
      </c>
      <c r="J8" s="18">
        <f>C21</f>
        <v>0</v>
      </c>
      <c r="L8" s="57" t="s">
        <v>9</v>
      </c>
      <c r="M8" s="63">
        <v>7.6499999999999999E-2</v>
      </c>
      <c r="N8" s="64">
        <v>7.6499999999999999E-2</v>
      </c>
      <c r="O8" s="64">
        <v>7.6499999999999999E-2</v>
      </c>
      <c r="P8" s="65">
        <v>7.6499999999999999E-2</v>
      </c>
    </row>
    <row r="9" spans="1:22" ht="15" thickBot="1" x14ac:dyDescent="0.45">
      <c r="A9" s="45" t="s">
        <v>36</v>
      </c>
      <c r="B9" s="47" t="s">
        <v>31</v>
      </c>
      <c r="C9" s="52" t="s">
        <v>31</v>
      </c>
      <c r="D9" s="52" t="s">
        <v>31</v>
      </c>
      <c r="E9" s="52" t="s">
        <v>31</v>
      </c>
      <c r="F9" s="53" t="s">
        <v>31</v>
      </c>
      <c r="H9" s="19" t="s">
        <v>3</v>
      </c>
      <c r="I9" s="17"/>
      <c r="J9" s="18"/>
      <c r="L9" s="73" t="s">
        <v>10</v>
      </c>
      <c r="M9" s="118">
        <f>SUM(M3:M8)</f>
        <v>0.77799877701792042</v>
      </c>
      <c r="N9" s="118">
        <f>SUM(N3:N8)</f>
        <v>0.44013383623742741</v>
      </c>
      <c r="O9" s="118">
        <f>SUM(O3:O8)</f>
        <v>7.6499999999999999E-2</v>
      </c>
      <c r="P9" s="119">
        <f>SUM(P3:P8)</f>
        <v>0.11649999999999999</v>
      </c>
    </row>
    <row r="10" spans="1:22" ht="15.9" thickBot="1" x14ac:dyDescent="0.45">
      <c r="A10" s="45" t="s">
        <v>44</v>
      </c>
      <c r="B10" s="48" t="s">
        <v>31</v>
      </c>
      <c r="C10" s="70" t="s">
        <v>30</v>
      </c>
      <c r="D10" s="70" t="s">
        <v>30</v>
      </c>
      <c r="E10" s="70" t="s">
        <v>30</v>
      </c>
      <c r="F10" s="71" t="s">
        <v>30</v>
      </c>
      <c r="H10" s="22" t="s">
        <v>16</v>
      </c>
      <c r="I10" s="20">
        <f>I2-SUM(I4:I4)</f>
        <v>1920</v>
      </c>
      <c r="J10" s="21">
        <f>J2-SUM(J4:J4)</f>
        <v>2040</v>
      </c>
    </row>
    <row r="11" spans="1:22" x14ac:dyDescent="0.4">
      <c r="A11" s="45" t="s">
        <v>54</v>
      </c>
      <c r="B11" s="48" t="s">
        <v>31</v>
      </c>
      <c r="C11" s="46" t="s">
        <v>31</v>
      </c>
      <c r="D11" s="70" t="s">
        <v>30</v>
      </c>
      <c r="E11" s="70" t="s">
        <v>30</v>
      </c>
      <c r="F11" s="71" t="s">
        <v>30</v>
      </c>
      <c r="H11" s="23"/>
      <c r="I11" s="17"/>
      <c r="J11" s="18"/>
      <c r="L11" s="81" t="s">
        <v>53</v>
      </c>
      <c r="M11" s="8" t="s">
        <v>50</v>
      </c>
      <c r="N11" s="35" t="s">
        <v>52</v>
      </c>
      <c r="O11" s="82" t="s">
        <v>51</v>
      </c>
      <c r="P11" s="96" t="s">
        <v>56</v>
      </c>
      <c r="R11" s="115" t="s">
        <v>61</v>
      </c>
      <c r="S11" s="83" t="s">
        <v>50</v>
      </c>
      <c r="T11" s="113" t="s">
        <v>52</v>
      </c>
      <c r="U11" s="83" t="s">
        <v>51</v>
      </c>
      <c r="V11" s="114" t="s">
        <v>56</v>
      </c>
    </row>
    <row r="12" spans="1:22" ht="15.9" thickBot="1" x14ac:dyDescent="0.45">
      <c r="A12" s="45" t="s">
        <v>55</v>
      </c>
      <c r="B12" s="48" t="s">
        <v>31</v>
      </c>
      <c r="C12" s="46" t="s">
        <v>31</v>
      </c>
      <c r="D12" s="46" t="s">
        <v>31</v>
      </c>
      <c r="E12" s="70" t="s">
        <v>30</v>
      </c>
      <c r="F12" s="71" t="s">
        <v>30</v>
      </c>
      <c r="H12" s="22" t="s">
        <v>17</v>
      </c>
      <c r="I12" s="17"/>
      <c r="J12" s="18"/>
      <c r="L12" s="79" t="s">
        <v>48</v>
      </c>
      <c r="M12" s="79" t="s">
        <v>49</v>
      </c>
      <c r="N12" s="85" t="s">
        <v>49</v>
      </c>
      <c r="O12" s="86" t="s">
        <v>49</v>
      </c>
      <c r="P12" s="97" t="s">
        <v>49</v>
      </c>
      <c r="R12" s="37" t="s">
        <v>48</v>
      </c>
      <c r="S12" s="85" t="s">
        <v>60</v>
      </c>
      <c r="T12" s="86" t="s">
        <v>60</v>
      </c>
      <c r="U12" s="85" t="s">
        <v>60</v>
      </c>
      <c r="V12" s="37" t="s">
        <v>60</v>
      </c>
    </row>
    <row r="13" spans="1:22" ht="15" thickBot="1" x14ac:dyDescent="0.45">
      <c r="A13" s="45" t="s">
        <v>37</v>
      </c>
      <c r="B13" s="50" t="s">
        <v>31</v>
      </c>
      <c r="C13" s="51" t="s">
        <v>31</v>
      </c>
      <c r="D13" s="51" t="s">
        <v>31</v>
      </c>
      <c r="E13" s="51" t="s">
        <v>31</v>
      </c>
      <c r="F13" s="72" t="s">
        <v>30</v>
      </c>
      <c r="H13" s="19" t="s">
        <v>16</v>
      </c>
      <c r="I13" s="20">
        <f>I10</f>
        <v>1920</v>
      </c>
      <c r="J13" s="21">
        <f t="shared" ref="J13" si="0">J10</f>
        <v>2040</v>
      </c>
      <c r="L13" s="8">
        <v>1</v>
      </c>
      <c r="M13" s="88">
        <f>64/56-1</f>
        <v>0.14285714285714279</v>
      </c>
      <c r="N13" s="89">
        <v>2.3809523809523725E-2</v>
      </c>
      <c r="O13" s="93">
        <v>4.7619047619047672E-2</v>
      </c>
      <c r="P13" s="96">
        <f>IF($B$23=3,M13,IF($B$24=8,N13,O13))</f>
        <v>2.3809523809523725E-2</v>
      </c>
      <c r="R13" s="35">
        <v>1</v>
      </c>
      <c r="S13" s="75">
        <v>64</v>
      </c>
      <c r="T13" s="60">
        <v>43</v>
      </c>
      <c r="U13" s="60">
        <v>44</v>
      </c>
      <c r="V13" s="61">
        <f>IF($B$23=3,S13,IF($B$24=8,T13,U13))</f>
        <v>43</v>
      </c>
    </row>
    <row r="14" spans="1:22" ht="15.9" thickBot="1" x14ac:dyDescent="0.45">
      <c r="H14" s="24" t="s">
        <v>18</v>
      </c>
      <c r="I14" s="17"/>
      <c r="J14" s="18"/>
      <c r="L14" s="84">
        <v>2</v>
      </c>
      <c r="M14" s="90">
        <f>64/56-1</f>
        <v>0.14285714285714279</v>
      </c>
      <c r="N14" s="87">
        <v>2.3809523809523725E-2</v>
      </c>
      <c r="O14" s="94">
        <v>0.21428571428571419</v>
      </c>
      <c r="P14" s="98">
        <f t="shared" ref="P14:P22" si="1">IF($B$23=3,M14,IF($B$24=8,N14,O14))</f>
        <v>2.3809523809523725E-2</v>
      </c>
      <c r="R14" s="36">
        <v>2</v>
      </c>
      <c r="S14" s="76">
        <v>64</v>
      </c>
      <c r="T14" s="2">
        <v>43</v>
      </c>
      <c r="U14" s="2">
        <v>51</v>
      </c>
      <c r="V14" s="61">
        <f t="shared" ref="V14:V22" si="2">IF($B$23=3,S14,IF($B$24=8,T14,U14))</f>
        <v>43</v>
      </c>
    </row>
    <row r="15" spans="1:22" ht="15" thickBot="1" x14ac:dyDescent="0.45">
      <c r="H15" s="19" t="s">
        <v>15</v>
      </c>
      <c r="I15" s="17">
        <f>I4*48/40</f>
        <v>192</v>
      </c>
      <c r="J15" s="17">
        <f>J4*48/40</f>
        <v>48</v>
      </c>
      <c r="L15" s="84">
        <v>3</v>
      </c>
      <c r="M15" s="90">
        <f>64/56-1</f>
        <v>0.14285714285714279</v>
      </c>
      <c r="N15" s="87">
        <v>0.14285714285714279</v>
      </c>
      <c r="O15" s="94">
        <v>0.26190476190476186</v>
      </c>
      <c r="P15" s="98">
        <f t="shared" si="1"/>
        <v>0.14285714285714279</v>
      </c>
      <c r="R15" s="36">
        <v>3</v>
      </c>
      <c r="S15" s="76">
        <v>64</v>
      </c>
      <c r="T15" s="2">
        <v>48</v>
      </c>
      <c r="U15" s="2">
        <v>53</v>
      </c>
      <c r="V15" s="61">
        <f t="shared" si="2"/>
        <v>48</v>
      </c>
    </row>
    <row r="16" spans="1:22" ht="15" thickBot="1" x14ac:dyDescent="0.45">
      <c r="B16" s="34" t="s">
        <v>1</v>
      </c>
      <c r="C16" s="34" t="s">
        <v>26</v>
      </c>
      <c r="H16" s="19" t="s">
        <v>47</v>
      </c>
      <c r="I16" s="20">
        <f>IF(B22=1,$P$13*$I$13,IF(B22=2,$P$14*$I$13,IF(B22=3,$P$15*$I$13,IF(B22=4,$P$16*$I$13,IF(B22=5,$P$17*$I$13,IF(B22=6,$P$18*$I$13,IF(B22=7,$P$19*$I$13,IF(B22=8,$P$20*$I$13,IF(B22=9,$P$21*$I$13,IF(B22=10,$P$22*I13))))))))))</f>
        <v>274.28571428571416</v>
      </c>
      <c r="J16" s="20">
        <f>IF(C22=1,$P$13*$I$13,IF(C22=2,$P$14*$I$13,IF(C22=3,$P$15*$I$13,IF(C22=4,$P$16*$I$13,IF(C22=5,$P$17*$I$13,IF(C22=6,$P$18*$I$13,IF(C22=7,$P$19*$I$13,IF(C22=8,$P$20*$I$13,IF(C22=9,$P$21*$I$13,IF(C22=10,$P$22*J13))))))))))</f>
        <v>45.714285714285552</v>
      </c>
      <c r="L16" s="84">
        <v>4</v>
      </c>
      <c r="M16" s="90">
        <f>64/56-1</f>
        <v>0.14285714285714279</v>
      </c>
      <c r="N16" s="87">
        <v>0.14285714285714279</v>
      </c>
      <c r="O16" s="94">
        <v>0.30952380952380953</v>
      </c>
      <c r="P16" s="98">
        <f t="shared" si="1"/>
        <v>0.14285714285714279</v>
      </c>
      <c r="R16" s="36">
        <v>4</v>
      </c>
      <c r="S16" s="76">
        <v>64</v>
      </c>
      <c r="T16" s="2">
        <v>48</v>
      </c>
      <c r="U16" s="2">
        <v>55</v>
      </c>
      <c r="V16" s="61">
        <f t="shared" si="2"/>
        <v>48</v>
      </c>
    </row>
    <row r="17" spans="1:22" ht="15" thickBot="1" x14ac:dyDescent="0.45">
      <c r="A17" s="54" t="s">
        <v>22</v>
      </c>
      <c r="B17" s="38">
        <v>30.82</v>
      </c>
      <c r="C17" s="38">
        <v>21.72</v>
      </c>
      <c r="H17" s="33" t="s">
        <v>28</v>
      </c>
      <c r="I17" s="17">
        <f>I6</f>
        <v>8</v>
      </c>
      <c r="J17" s="17">
        <f>J6</f>
        <v>0</v>
      </c>
      <c r="L17" s="84">
        <v>5</v>
      </c>
      <c r="M17" s="90">
        <f>68/56-1</f>
        <v>0.21428571428571419</v>
      </c>
      <c r="N17" s="87">
        <v>0.21428571428571419</v>
      </c>
      <c r="O17" s="94">
        <v>0.35714285714285721</v>
      </c>
      <c r="P17" s="98">
        <f t="shared" si="1"/>
        <v>0.21428571428571419</v>
      </c>
      <c r="R17" s="36">
        <v>5</v>
      </c>
      <c r="S17" s="76">
        <v>68</v>
      </c>
      <c r="T17" s="2">
        <v>51</v>
      </c>
      <c r="U17" s="2">
        <v>57</v>
      </c>
      <c r="V17" s="61">
        <f t="shared" si="2"/>
        <v>51</v>
      </c>
    </row>
    <row r="18" spans="1:22" ht="15" thickBot="1" x14ac:dyDescent="0.45">
      <c r="A18" s="45" t="s">
        <v>29</v>
      </c>
      <c r="B18" s="39">
        <v>4</v>
      </c>
      <c r="C18" s="39">
        <v>1</v>
      </c>
      <c r="H18" s="19" t="s">
        <v>19</v>
      </c>
      <c r="I18" s="17">
        <f>I5</f>
        <v>104</v>
      </c>
      <c r="J18" s="17">
        <f>J5</f>
        <v>88</v>
      </c>
      <c r="L18" s="84">
        <v>6</v>
      </c>
      <c r="M18" s="90">
        <f>64/56-1</f>
        <v>0.14285714285714279</v>
      </c>
      <c r="N18" s="87">
        <v>2.3809523809523725E-2</v>
      </c>
      <c r="O18" s="94">
        <v>4.7619047619047672E-2</v>
      </c>
      <c r="P18" s="98">
        <f t="shared" si="1"/>
        <v>2.3809523809523725E-2</v>
      </c>
      <c r="R18" s="36">
        <v>6</v>
      </c>
      <c r="S18" s="76">
        <v>64</v>
      </c>
      <c r="T18" s="2">
        <v>43</v>
      </c>
      <c r="U18" s="2">
        <v>44</v>
      </c>
      <c r="V18" s="61">
        <f t="shared" si="2"/>
        <v>43</v>
      </c>
    </row>
    <row r="19" spans="1:22" ht="15" thickBot="1" x14ac:dyDescent="0.45">
      <c r="A19" s="45" t="s">
        <v>28</v>
      </c>
      <c r="B19" s="39" t="s">
        <v>30</v>
      </c>
      <c r="C19" s="39" t="s">
        <v>31</v>
      </c>
      <c r="H19" s="19" t="s">
        <v>43</v>
      </c>
      <c r="I19" s="20">
        <f>0.2*I10*2/3/B17</f>
        <v>8.3062946138870863</v>
      </c>
      <c r="J19" s="20">
        <f>0.2*J10*2/3/C17</f>
        <v>12.523020257826888</v>
      </c>
      <c r="L19" s="84">
        <v>7</v>
      </c>
      <c r="M19" s="90">
        <f>64/56-1</f>
        <v>0.14285714285714279</v>
      </c>
      <c r="N19" s="87">
        <v>2.3809523809523725E-2</v>
      </c>
      <c r="O19" s="94">
        <v>0.33333333333333326</v>
      </c>
      <c r="P19" s="98">
        <f t="shared" si="1"/>
        <v>2.3809523809523725E-2</v>
      </c>
      <c r="R19" s="36">
        <v>7</v>
      </c>
      <c r="S19" s="76">
        <v>64</v>
      </c>
      <c r="T19" s="2">
        <v>43</v>
      </c>
      <c r="U19" s="2">
        <v>56</v>
      </c>
      <c r="V19" s="61">
        <f t="shared" si="2"/>
        <v>43</v>
      </c>
    </row>
    <row r="20" spans="1:22" ht="15" thickBot="1" x14ac:dyDescent="0.45">
      <c r="A20" s="45" t="s">
        <v>32</v>
      </c>
      <c r="B20" s="39">
        <v>5</v>
      </c>
      <c r="C20" s="39">
        <v>2</v>
      </c>
      <c r="H20" s="19"/>
      <c r="I20" s="17"/>
      <c r="J20" s="21"/>
      <c r="L20" s="84">
        <v>8</v>
      </c>
      <c r="M20" s="90">
        <f>64/56-1</f>
        <v>0.14285714285714279</v>
      </c>
      <c r="N20" s="87">
        <v>0.14285714285714279</v>
      </c>
      <c r="O20" s="94">
        <v>0.4285714285714286</v>
      </c>
      <c r="P20" s="98">
        <f t="shared" si="1"/>
        <v>0.14285714285714279</v>
      </c>
      <c r="R20" s="36">
        <v>8</v>
      </c>
      <c r="S20" s="76">
        <v>64</v>
      </c>
      <c r="T20" s="2">
        <v>48</v>
      </c>
      <c r="U20" s="2">
        <v>60</v>
      </c>
      <c r="V20" s="61">
        <f t="shared" si="2"/>
        <v>48</v>
      </c>
    </row>
    <row r="21" spans="1:22" ht="15.9" thickBot="1" x14ac:dyDescent="0.45">
      <c r="A21" s="45" t="s">
        <v>33</v>
      </c>
      <c r="B21" s="39">
        <v>0</v>
      </c>
      <c r="C21" s="39">
        <v>0</v>
      </c>
      <c r="H21" s="22" t="s">
        <v>20</v>
      </c>
      <c r="I21" s="20">
        <f>SUM(I13:I19)</f>
        <v>2506.5920088996013</v>
      </c>
      <c r="J21" s="20">
        <f>SUM(J13:J19)</f>
        <v>2234.2373059721122</v>
      </c>
      <c r="L21" s="84">
        <v>9</v>
      </c>
      <c r="M21" s="90">
        <f>64/56-1</f>
        <v>0.14285714285714279</v>
      </c>
      <c r="N21" s="87">
        <v>0.14285714285714279</v>
      </c>
      <c r="O21" s="94">
        <v>0.4285714285714286</v>
      </c>
      <c r="P21" s="98">
        <f t="shared" si="1"/>
        <v>0.14285714285714279</v>
      </c>
      <c r="R21" s="36">
        <v>9</v>
      </c>
      <c r="S21" s="76">
        <v>64</v>
      </c>
      <c r="T21" s="2">
        <v>48</v>
      </c>
      <c r="U21" s="2">
        <v>60</v>
      </c>
      <c r="V21" s="61">
        <f t="shared" si="2"/>
        <v>48</v>
      </c>
    </row>
    <row r="22" spans="1:22" ht="15" thickBot="1" x14ac:dyDescent="0.45">
      <c r="A22" s="42" t="s">
        <v>46</v>
      </c>
      <c r="B22" s="66">
        <v>9</v>
      </c>
      <c r="C22" s="67">
        <v>1</v>
      </c>
      <c r="H22" s="19"/>
      <c r="I22" s="20"/>
      <c r="J22" s="18"/>
      <c r="L22" s="80">
        <v>10</v>
      </c>
      <c r="M22" s="91">
        <f>68/56-1</f>
        <v>0.21428571428571419</v>
      </c>
      <c r="N22" s="92">
        <v>0.21428571428571419</v>
      </c>
      <c r="O22" s="95">
        <v>0.47619047619047628</v>
      </c>
      <c r="P22" s="99">
        <f t="shared" si="1"/>
        <v>0.21428571428571419</v>
      </c>
      <c r="R22" s="37">
        <v>10</v>
      </c>
      <c r="S22" s="77">
        <v>68</v>
      </c>
      <c r="T22" s="78">
        <v>51</v>
      </c>
      <c r="U22" s="78">
        <v>62</v>
      </c>
      <c r="V22" s="61">
        <f t="shared" si="2"/>
        <v>51</v>
      </c>
    </row>
    <row r="23" spans="1:22" x14ac:dyDescent="0.4">
      <c r="A23" s="45" t="s">
        <v>35</v>
      </c>
      <c r="B23" s="39">
        <v>4</v>
      </c>
      <c r="H23" s="19" t="s">
        <v>21</v>
      </c>
      <c r="I23" s="25">
        <f>I21/I13</f>
        <v>1.3055166713018758</v>
      </c>
      <c r="J23" s="26">
        <f>J21/J13</f>
        <v>1.0952143656726041</v>
      </c>
    </row>
    <row r="24" spans="1:22" x14ac:dyDescent="0.4">
      <c r="A24" s="45" t="s">
        <v>34</v>
      </c>
      <c r="B24" s="39">
        <v>8</v>
      </c>
      <c r="H24" s="23"/>
      <c r="I24" s="17"/>
      <c r="J24" s="18"/>
    </row>
    <row r="25" spans="1:22" x14ac:dyDescent="0.4">
      <c r="A25" s="45" t="s">
        <v>38</v>
      </c>
      <c r="B25" s="41">
        <v>0.4</v>
      </c>
      <c r="H25" s="19" t="s">
        <v>22</v>
      </c>
      <c r="I25" s="116">
        <f>B17</f>
        <v>30.82</v>
      </c>
      <c r="J25" s="117">
        <f>C17</f>
        <v>21.72</v>
      </c>
    </row>
    <row r="26" spans="1:22" ht="15" thickBot="1" x14ac:dyDescent="0.45">
      <c r="A26" s="55" t="s">
        <v>39</v>
      </c>
      <c r="B26" s="40">
        <v>46</v>
      </c>
      <c r="H26" s="19" t="s">
        <v>23</v>
      </c>
      <c r="I26" s="27">
        <f>((2080*M9)+(I21-2080)*O9)/I21</f>
        <v>0.65861206730760702</v>
      </c>
      <c r="J26" s="27">
        <f>((2080*N9)+(J21-2080)*P9)/J21</f>
        <v>0.41779224750410265</v>
      </c>
    </row>
    <row r="27" spans="1:22" ht="20.6" x14ac:dyDescent="0.4">
      <c r="A27" s="112" t="s">
        <v>40</v>
      </c>
      <c r="B27" s="108">
        <f>B25*IF(B23=3,56*52*3*B26*I29,42*52*4*B26*I29)+(1-B25)*IF(B23=3,56*52*3*B26*J29,42*52*4*B26*J29)</f>
        <v>18859220.506738074</v>
      </c>
      <c r="C27" s="109"/>
      <c r="H27" s="19" t="s">
        <v>24</v>
      </c>
      <c r="I27" s="28">
        <f>O9</f>
        <v>7.6499999999999999E-2</v>
      </c>
      <c r="J27" s="29">
        <f>P9</f>
        <v>0.11649999999999999</v>
      </c>
    </row>
    <row r="28" spans="1:22" ht="44.15" thickBot="1" x14ac:dyDescent="0.45">
      <c r="A28" s="112" t="s">
        <v>41</v>
      </c>
      <c r="B28" s="110">
        <f>IF($B$22=1,V13,IF($B$22=2,V14,IF($B$22=3,V15,IF($B$22=4,V16,IF($B$22=5,V17,IF($B$22=6,V18,IF($B$22=7,V19,IF($B$22=8,V20,IF($B$22=9,V21,V22)))))))))*52*I25</f>
        <v>76926.720000000001</v>
      </c>
      <c r="C28" s="111" t="s">
        <v>59</v>
      </c>
      <c r="H28" s="30"/>
      <c r="I28" s="31"/>
      <c r="J28" s="32"/>
    </row>
    <row r="29" spans="1:22" ht="43.75" x14ac:dyDescent="0.5">
      <c r="A29" s="112" t="s">
        <v>42</v>
      </c>
      <c r="B29" s="110">
        <f>IF($C$22=1,V13,IF($C$22=2,V14,IF($C$22=3,V15,IF($C$22=4,V16,IF($C$22=5,V17,IF($C$22=6,V18,IF($C$22=7,V19,IF($C$22=8,V20,IF($C$22=9,V21,V22)))))))))*52*J25</f>
        <v>48565.919999999998</v>
      </c>
      <c r="C29" s="111" t="s">
        <v>59</v>
      </c>
      <c r="H29" s="101" t="s">
        <v>58</v>
      </c>
      <c r="I29" s="102">
        <f>I25*I23*(1+I26)</f>
        <v>66.735954630952392</v>
      </c>
      <c r="J29" s="103">
        <f t="shared" ref="J29" si="3">J25*J23*(1+J26)</f>
        <v>33.726521411764708</v>
      </c>
    </row>
    <row r="30" spans="1:22" ht="18.45" x14ac:dyDescent="0.5">
      <c r="C30" s="1" t="s">
        <v>3</v>
      </c>
      <c r="H30" s="104" t="s">
        <v>25</v>
      </c>
      <c r="I30" s="100">
        <f>1.5*I25*(1+I27)</f>
        <v>49.766595000000002</v>
      </c>
      <c r="J30" s="105">
        <f t="shared" ref="J30" si="4">1.5*J25*(1+J27)</f>
        <v>36.375569999999996</v>
      </c>
    </row>
    <row r="31" spans="1:22" ht="18.899999999999999" thickBot="1" x14ac:dyDescent="0.55000000000000004">
      <c r="H31" s="106" t="s">
        <v>57</v>
      </c>
      <c r="I31" s="107">
        <f>2*I25*(1+I27)</f>
        <v>66.355460000000008</v>
      </c>
      <c r="J31" s="107">
        <f>2*J25*(1+J27)</f>
        <v>48.50076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Dillingham</dc:creator>
  <cp:lastModifiedBy>James Dillingham</cp:lastModifiedBy>
  <dcterms:created xsi:type="dcterms:W3CDTF">2022-11-05T00:45:58Z</dcterms:created>
  <dcterms:modified xsi:type="dcterms:W3CDTF">2024-02-24T00:56:28Z</dcterms:modified>
</cp:coreProperties>
</file>