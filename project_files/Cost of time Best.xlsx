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\OneDrive\Desktop\Project Administration\"/>
    </mc:Choice>
  </mc:AlternateContent>
  <xr:revisionPtr revIDLastSave="0" documentId="8_{DD541ECE-2497-4371-BBDD-B5AFC688E46F}" xr6:coauthVersionLast="47" xr6:coauthVersionMax="47" xr10:uidLastSave="{00000000-0000-0000-0000-000000000000}"/>
  <bookViews>
    <workbookView xWindow="-103" yWindow="-103" windowWidth="22149" windowHeight="13200" xr2:uid="{123680A5-723D-4672-871E-6A4C5C1F40F8}"/>
  </bookViews>
  <sheets>
    <sheet name="Cost of Time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L12" i="1"/>
  <c r="M12" i="1"/>
  <c r="N12" i="1"/>
  <c r="O12" i="1"/>
  <c r="J12" i="1"/>
  <c r="K39" i="1" l="1"/>
  <c r="J5" i="1"/>
  <c r="O5" i="1" s="1"/>
  <c r="M39" i="1"/>
  <c r="N17" i="1" l="1"/>
  <c r="K17" i="1"/>
  <c r="N2" i="1"/>
  <c r="N8" i="1" s="1"/>
  <c r="N19" i="1" s="1"/>
  <c r="N6" i="1" l="1"/>
  <c r="N7" i="1"/>
  <c r="E8" i="1" l="1"/>
  <c r="E9" i="1"/>
  <c r="L5" i="1"/>
  <c r="L17" i="1" s="1"/>
  <c r="M17" i="1" s="1"/>
  <c r="L4" i="1"/>
  <c r="M4" i="1" s="1"/>
  <c r="M2" i="1"/>
  <c r="M8" i="1" s="1"/>
  <c r="M19" i="1" s="1"/>
  <c r="L2" i="1"/>
  <c r="L8" i="1" s="1"/>
  <c r="L19" i="1" s="1"/>
  <c r="M5" i="1"/>
  <c r="D3" i="1"/>
  <c r="D18" i="1"/>
  <c r="Q9" i="2"/>
  <c r="Q8" i="2"/>
  <c r="Q7" i="2"/>
  <c r="Q6" i="2"/>
  <c r="Q5" i="2"/>
  <c r="L18" i="1"/>
  <c r="M18" i="1" s="1"/>
  <c r="D27" i="1"/>
  <c r="L6" i="1" l="1"/>
  <c r="L7" i="1"/>
  <c r="M6" i="1"/>
  <c r="M7" i="1"/>
  <c r="L14" i="1"/>
  <c r="M14" i="1" s="1"/>
  <c r="M10" i="1"/>
  <c r="M11" i="1" s="1"/>
  <c r="F4" i="1"/>
  <c r="K23" i="1" l="1"/>
  <c r="J23" i="1"/>
  <c r="O23" i="1" s="1"/>
  <c r="K18" i="1"/>
  <c r="N18" i="1" s="1"/>
  <c r="J18" i="1"/>
  <c r="O18" i="1" s="1"/>
  <c r="J17" i="1"/>
  <c r="O17" i="1" s="1"/>
  <c r="K5" i="1"/>
  <c r="N5" i="1" s="1"/>
  <c r="K4" i="1"/>
  <c r="N4" i="1" s="1"/>
  <c r="J4" i="1"/>
  <c r="O4" i="1" s="1"/>
  <c r="K14" i="1"/>
  <c r="N14" i="1" s="1"/>
  <c r="J14" i="1"/>
  <c r="O14" i="1" s="1"/>
  <c r="K2" i="1"/>
  <c r="K8" i="1" s="1"/>
  <c r="K19" i="1" s="1"/>
  <c r="K6" i="1" l="1"/>
  <c r="K7" i="1"/>
  <c r="N10" i="1"/>
  <c r="L36" i="1"/>
  <c r="L34" i="1"/>
  <c r="L33" i="1"/>
  <c r="L23" i="1"/>
  <c r="L35" i="1" l="1"/>
  <c r="M35" i="1" s="1"/>
  <c r="M23" i="1"/>
  <c r="N23" i="1" s="1"/>
  <c r="L39" i="1"/>
  <c r="N15" i="1"/>
  <c r="N21" i="1" s="1"/>
  <c r="N22" i="1" s="1"/>
  <c r="N16" i="1"/>
  <c r="N11" i="1"/>
  <c r="F7" i="1"/>
  <c r="F10" i="1" l="1"/>
  <c r="E10" i="1"/>
  <c r="M24" i="1" l="1"/>
  <c r="L24" i="1"/>
  <c r="K28" i="1"/>
  <c r="L28" i="1" s="1"/>
  <c r="M28" i="1" s="1"/>
  <c r="N28" i="1" s="1"/>
  <c r="J28" i="1"/>
  <c r="O28" i="1" s="1"/>
  <c r="J25" i="1"/>
  <c r="K25" i="1"/>
  <c r="J24" i="1"/>
  <c r="K24" i="1"/>
  <c r="J27" i="1" l="1"/>
  <c r="O25" i="1"/>
  <c r="O24" i="1"/>
  <c r="K27" i="1"/>
  <c r="L25" i="1"/>
  <c r="L27" i="1" l="1"/>
  <c r="M27" i="1" s="1"/>
  <c r="N27" i="1" s="1"/>
  <c r="M25" i="1"/>
  <c r="N25" i="1" s="1"/>
  <c r="O27" i="1" l="1"/>
  <c r="L10" i="1" l="1"/>
  <c r="K10" i="1"/>
  <c r="L15" i="1" l="1"/>
  <c r="M15" i="1" s="1"/>
  <c r="L16" i="1"/>
  <c r="M16" i="1" s="1"/>
  <c r="K11" i="1"/>
  <c r="K15" i="1"/>
  <c r="K16" i="1"/>
  <c r="L11" i="1"/>
  <c r="K21" i="1" l="1"/>
  <c r="K22" i="1" s="1"/>
  <c r="K26" i="1" s="1"/>
  <c r="J34" i="1" s="1"/>
  <c r="K34" i="1" s="1"/>
  <c r="L21" i="1"/>
  <c r="K29" i="1" l="1"/>
  <c r="L22" i="1"/>
  <c r="L26" i="1" s="1"/>
  <c r="M21" i="1"/>
  <c r="M22" i="1" s="1"/>
  <c r="M26" i="1" s="1"/>
  <c r="L29" i="1" l="1"/>
  <c r="M29" i="1"/>
  <c r="N24" i="1"/>
  <c r="N26" i="1" s="1"/>
  <c r="J7" i="1"/>
  <c r="O7" i="1" s="1"/>
  <c r="J6" i="1"/>
  <c r="O6" i="1" s="1"/>
  <c r="J8" i="1"/>
  <c r="J19" i="1" s="1"/>
  <c r="O19" i="1" s="1"/>
  <c r="J10" i="1"/>
  <c r="O10" i="1" s="1"/>
  <c r="O15" i="1" l="1"/>
  <c r="O21" i="1" s="1"/>
  <c r="O22" i="1" s="1"/>
  <c r="O26" i="1" s="1"/>
  <c r="N29" i="1"/>
  <c r="J21" i="1"/>
  <c r="J22" i="1" s="1"/>
  <c r="J11" i="1"/>
  <c r="O11" i="1" s="1"/>
  <c r="J16" i="1"/>
  <c r="O16" i="1" s="1"/>
  <c r="O8" i="1"/>
  <c r="O29" i="1" l="1"/>
  <c r="J26" i="1"/>
  <c r="J37" i="1"/>
  <c r="L30" i="1" l="1"/>
  <c r="J30" i="1"/>
  <c r="J36" i="1"/>
  <c r="K36" i="1" s="1"/>
  <c r="J38" i="1"/>
  <c r="J33" i="1"/>
  <c r="K33" i="1" s="1"/>
  <c r="K30" i="1"/>
  <c r="M30" i="1"/>
  <c r="J29" i="1"/>
  <c r="N30" i="1"/>
  <c r="O30" i="1"/>
</calcChain>
</file>

<file path=xl/sharedStrings.xml><?xml version="1.0" encoding="utf-8"?>
<sst xmlns="http://schemas.openxmlformats.org/spreadsheetml/2006/main" count="115" uniqueCount="89">
  <si>
    <t>Wage</t>
  </si>
  <si>
    <t>FUI/SUI</t>
  </si>
  <si>
    <t>FICA</t>
  </si>
  <si>
    <t>WC</t>
  </si>
  <si>
    <t xml:space="preserve"> </t>
  </si>
  <si>
    <t>Medical</t>
  </si>
  <si>
    <t>Straight time</t>
  </si>
  <si>
    <t>Overtime</t>
  </si>
  <si>
    <t>Scheduled Hours</t>
  </si>
  <si>
    <t>5 day 8's</t>
  </si>
  <si>
    <t>less</t>
  </si>
  <si>
    <t>Vacation</t>
  </si>
  <si>
    <t>Holidays</t>
  </si>
  <si>
    <t>Items</t>
  </si>
  <si>
    <t>Inputs</t>
  </si>
  <si>
    <t>wage</t>
  </si>
  <si>
    <t>Holidays Recognized</t>
  </si>
  <si>
    <t>Holidays Worked</t>
  </si>
  <si>
    <t>Scheduled Hours Worked</t>
  </si>
  <si>
    <t>Scheduled Hours Paid</t>
  </si>
  <si>
    <t>Vaction</t>
  </si>
  <si>
    <t>Holiday Pay</t>
  </si>
  <si>
    <t>Holiday Premium</t>
  </si>
  <si>
    <t>Total Scheduled Hours Paid</t>
  </si>
  <si>
    <t>Hourly Wage</t>
  </si>
  <si>
    <t>Straight Time Burden</t>
  </si>
  <si>
    <t>Overtime Burden</t>
  </si>
  <si>
    <t>Cost of Scheduled Time</t>
  </si>
  <si>
    <t>Percent Worked</t>
  </si>
  <si>
    <t>Ratio Paid/Worked</t>
  </si>
  <si>
    <t>Built-in overtime</t>
  </si>
  <si>
    <t>Shift Differential</t>
  </si>
  <si>
    <t>FMLA</t>
  </si>
  <si>
    <t>Vacation paid</t>
  </si>
  <si>
    <t>Shift Differential 2nd</t>
  </si>
  <si>
    <t>Shift Differential 3rd</t>
  </si>
  <si>
    <t>Marginal Cost of Time (1.5x)</t>
  </si>
  <si>
    <t>Marginal Cost of Time (2.0x)</t>
  </si>
  <si>
    <t>Cost of OT - Cost of ST</t>
  </si>
  <si>
    <t>Cost over Current</t>
  </si>
  <si>
    <t>Item</t>
  </si>
  <si>
    <t>Total</t>
  </si>
  <si>
    <t>Days of Productions</t>
  </si>
  <si>
    <t>% Change</t>
  </si>
  <si>
    <t>Labor Hours</t>
  </si>
  <si>
    <t>Cost</t>
  </si>
  <si>
    <t xml:space="preserve"> none</t>
  </si>
  <si>
    <t>none</t>
  </si>
  <si>
    <t>250 employees @ 40 hours per week</t>
  </si>
  <si>
    <t>250 employees @ 48 hours per week</t>
  </si>
  <si>
    <t xml:space="preserve">333 employees @ 42 hours per week </t>
  </si>
  <si>
    <t>staffing</t>
  </si>
  <si>
    <t>5-day schedule</t>
  </si>
  <si>
    <t>5-day schedule plus Saturdays</t>
  </si>
  <si>
    <t>5-day schedule plus Sat &amp; Sun</t>
  </si>
  <si>
    <t>6-day schedule</t>
  </si>
  <si>
    <t>7-day schedule</t>
  </si>
  <si>
    <t>Annual Days Off</t>
  </si>
  <si>
    <t>Annual Days On</t>
  </si>
  <si>
    <t>Saturdays Off</t>
  </si>
  <si>
    <t>Sundays Off</t>
  </si>
  <si>
    <t>Annual Income ($28/hr)</t>
  </si>
  <si>
    <t>Labor Cost per Hour</t>
  </si>
  <si>
    <t>multiplier</t>
  </si>
  <si>
    <t>Shift Differential Nights 12's</t>
  </si>
  <si>
    <t>24/7 12's
Current Contract</t>
  </si>
  <si>
    <t>Weekend Crew
Extra day good</t>
  </si>
  <si>
    <t>Weekend Crew 
Extra day wasted</t>
  </si>
  <si>
    <t>Covering 7 days with current schedule and no weekend crew</t>
  </si>
  <si>
    <t>Hourly cost</t>
  </si>
  <si>
    <t>Covering 7 days with a 4-crew, 12-hour schedule current contract</t>
  </si>
  <si>
    <t>Annual Employee Income</t>
  </si>
  <si>
    <t>Annual Employee Days Off</t>
  </si>
  <si>
    <t>OT days needed to keep employee whole</t>
  </si>
  <si>
    <t>Covering 7 days with current schedule and 25% staffing of weekend crew that is wasted on other days</t>
  </si>
  <si>
    <t>Health Benefits funs</t>
  </si>
  <si>
    <t xml:space="preserve">401K  </t>
  </si>
  <si>
    <t>24/7 4&amp;2
3-crew</t>
  </si>
  <si>
    <t>Vacation hours off</t>
  </si>
  <si>
    <t>Cost of an hour for a laid off person</t>
  </si>
  <si>
    <t>Additional Cost to keep laid off person</t>
  </si>
  <si>
    <t>Unexcused</t>
  </si>
  <si>
    <t>Paid excused</t>
  </si>
  <si>
    <t>Paid Excused</t>
  </si>
  <si>
    <t>unexcused</t>
  </si>
  <si>
    <t>Annual cost 
(n=100 positions)</t>
  </si>
  <si>
    <t>Cost of covering 7 days with a high overtime schedule (4-on-2-off)</t>
  </si>
  <si>
    <t>24/5
12-hour</t>
  </si>
  <si>
    <t>Absentee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</si>
</sst>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&quot;$&quot;#,##0.00"/>
    <numFmt numFmtId="167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16" xfId="0" applyBorder="1" applyAlignment="1">
      <alignment horizontal="right"/>
    </xf>
    <xf numFmtId="0" fontId="3" fillId="0" borderId="21" xfId="0" applyFont="1" applyBorder="1" applyAlignment="1">
      <alignment horizontal="right"/>
    </xf>
    <xf numFmtId="0" fontId="2" fillId="0" borderId="17" xfId="0" applyFont="1" applyBorder="1" applyAlignment="1">
      <alignment horizontal="right"/>
    </xf>
    <xf numFmtId="166" fontId="0" fillId="0" borderId="14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left"/>
    </xf>
    <xf numFmtId="166" fontId="0" fillId="0" borderId="6" xfId="0" applyNumberFormat="1" applyBorder="1" applyAlignment="1">
      <alignment horizontal="center"/>
    </xf>
    <xf numFmtId="0" fontId="2" fillId="0" borderId="20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166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6" fontId="0" fillId="0" borderId="6" xfId="2" applyNumberFormat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/>
    <xf numFmtId="0" fontId="0" fillId="0" borderId="3" xfId="0" applyBorder="1" applyAlignment="1">
      <alignment horizontal="center"/>
    </xf>
    <xf numFmtId="0" fontId="0" fillId="0" borderId="13" xfId="0" applyBorder="1"/>
    <xf numFmtId="0" fontId="2" fillId="0" borderId="31" xfId="0" applyFont="1" applyBorder="1" applyAlignment="1">
      <alignment horizontal="center"/>
    </xf>
    <xf numFmtId="44" fontId="0" fillId="0" borderId="2" xfId="2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67" fontId="0" fillId="0" borderId="8" xfId="2" applyNumberFormat="1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3" fontId="0" fillId="0" borderId="1" xfId="3" applyNumberFormat="1" applyFont="1" applyBorder="1" applyAlignment="1">
      <alignment horizontal="center"/>
    </xf>
    <xf numFmtId="3" fontId="0" fillId="0" borderId="8" xfId="3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3" fontId="0" fillId="0" borderId="24" xfId="3" applyNumberFormat="1" applyFont="1" applyBorder="1" applyAlignment="1">
      <alignment horizontal="center"/>
    </xf>
    <xf numFmtId="167" fontId="0" fillId="0" borderId="24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3" fontId="0" fillId="0" borderId="3" xfId="3" applyNumberFormat="1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3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7" fontId="0" fillId="0" borderId="27" xfId="2" applyNumberFormat="1" applyFont="1" applyBorder="1" applyAlignment="1">
      <alignment horizontal="center"/>
    </xf>
    <xf numFmtId="167" fontId="0" fillId="0" borderId="25" xfId="2" applyNumberFormat="1" applyFont="1" applyBorder="1" applyAlignment="1">
      <alignment horizontal="center"/>
    </xf>
    <xf numFmtId="167" fontId="0" fillId="0" borderId="26" xfId="2" applyNumberFormat="1" applyFont="1" applyBorder="1" applyAlignment="1">
      <alignment horizontal="center"/>
    </xf>
    <xf numFmtId="0" fontId="4" fillId="3" borderId="34" xfId="0" applyFont="1" applyFill="1" applyBorder="1" applyAlignment="1">
      <alignment horizontal="center" vertical="center" wrapText="1"/>
    </xf>
    <xf numFmtId="166" fontId="0" fillId="0" borderId="13" xfId="2" applyNumberFormat="1" applyFont="1" applyBorder="1" applyAlignment="1">
      <alignment horizontal="center"/>
    </xf>
    <xf numFmtId="166" fontId="0" fillId="0" borderId="14" xfId="2" applyNumberFormat="1" applyFont="1" applyFill="1" applyBorder="1" applyAlignment="1">
      <alignment horizontal="center"/>
    </xf>
    <xf numFmtId="166" fontId="0" fillId="0" borderId="15" xfId="2" applyNumberFormat="1" applyFont="1" applyFill="1" applyBorder="1" applyAlignment="1">
      <alignment horizontal="center"/>
    </xf>
    <xf numFmtId="0" fontId="0" fillId="0" borderId="23" xfId="0" applyBorder="1"/>
    <xf numFmtId="14" fontId="7" fillId="0" borderId="0" xfId="4" applyNumberFormat="1" applyAlignment="1">
      <alignment vertical="top"/>
    </xf>
    <xf numFmtId="0" fontId="0" fillId="0" borderId="10" xfId="0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5" xfId="0" applyFont="1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166" fontId="0" fillId="0" borderId="8" xfId="0" applyNumberFormat="1" applyBorder="1" applyAlignment="1">
      <alignment horizontal="center" vertical="center"/>
    </xf>
    <xf numFmtId="43" fontId="0" fillId="0" borderId="0" xfId="3" applyFont="1"/>
    <xf numFmtId="9" fontId="0" fillId="0" borderId="0" xfId="1" applyFont="1"/>
    <xf numFmtId="0" fontId="0" fillId="0" borderId="5" xfId="0" applyBorder="1"/>
    <xf numFmtId="0" fontId="0" fillId="0" borderId="7" xfId="0" applyBorder="1"/>
    <xf numFmtId="2" fontId="0" fillId="0" borderId="2" xfId="0" applyNumberFormat="1" applyBorder="1" applyAlignment="1">
      <alignment horizontal="center"/>
    </xf>
    <xf numFmtId="166" fontId="0" fillId="0" borderId="5" xfId="2" applyNumberFormat="1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" fontId="0" fillId="0" borderId="24" xfId="0" applyNumberForma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/>
    </xf>
    <xf numFmtId="166" fontId="6" fillId="0" borderId="24" xfId="0" applyNumberFormat="1" applyFont="1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vertical="center" wrapText="1"/>
    </xf>
    <xf numFmtId="167" fontId="0" fillId="0" borderId="1" xfId="0" applyNumberFormat="1" applyBorder="1" applyAlignment="1">
      <alignment horizontal="center" vertical="center"/>
    </xf>
    <xf numFmtId="167" fontId="0" fillId="0" borderId="1" xfId="0" applyNumberFormat="1" applyBorder="1"/>
    <xf numFmtId="167" fontId="0" fillId="0" borderId="8" xfId="2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right"/>
    </xf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19" xfId="0" applyBorder="1"/>
    <xf numFmtId="0" fontId="4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0" fontId="8" fillId="0" borderId="6" xfId="1" applyNumberFormat="1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6" fontId="0" fillId="0" borderId="8" xfId="2" applyNumberFormat="1" applyFont="1" applyBorder="1" applyAlignment="1">
      <alignment horizontal="center" vertical="center"/>
    </xf>
    <xf numFmtId="166" fontId="0" fillId="0" borderId="24" xfId="0" applyNumberFormat="1" applyBorder="1" applyAlignment="1">
      <alignment horizontal="center"/>
    </xf>
    <xf numFmtId="166" fontId="0" fillId="0" borderId="33" xfId="2" applyNumberFormat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17" xfId="0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9" fontId="0" fillId="0" borderId="36" xfId="1" applyFont="1" applyBorder="1" applyAlignment="1">
      <alignment horizontal="center"/>
    </xf>
  </cellXfs>
  <cellStyles count="7">
    <cellStyle name="Comma" xfId="3" builtinId="3"/>
    <cellStyle name="Currency" xfId="2" builtinId="4"/>
    <cellStyle name="Normal" xfId="0" builtinId="0"/>
    <cellStyle name="Normal 2" xfId="6" xr:uid="{778D2E7D-C21C-4400-A985-3C3CCDE79A56}"/>
    <cellStyle name="Normal 3" xfId="4" xr:uid="{C650D792-4C1F-4F87-AD99-23F75CD14A86}"/>
    <cellStyle name="Normal 6 2 2 2" xfId="5" xr:uid="{189344CF-31CA-4729-9F54-A6EF33C6E36D}"/>
    <cellStyle name="Percent" xfId="1" builtinId="5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Sheet2!$C$2:$C$498</c:f>
              <c:numCache>
                <c:formatCode>General</c:formatCode>
                <c:ptCount val="497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  <c:pt idx="29">
                  <c:v>240</c:v>
                </c:pt>
                <c:pt idx="30">
                  <c:v>240</c:v>
                </c:pt>
                <c:pt idx="31">
                  <c:v>240</c:v>
                </c:pt>
                <c:pt idx="32">
                  <c:v>240</c:v>
                </c:pt>
                <c:pt idx="33">
                  <c:v>240</c:v>
                </c:pt>
                <c:pt idx="34">
                  <c:v>240</c:v>
                </c:pt>
                <c:pt idx="35">
                  <c:v>240</c:v>
                </c:pt>
                <c:pt idx="36">
                  <c:v>240</c:v>
                </c:pt>
                <c:pt idx="37">
                  <c:v>240</c:v>
                </c:pt>
                <c:pt idx="38">
                  <c:v>240</c:v>
                </c:pt>
                <c:pt idx="39">
                  <c:v>240</c:v>
                </c:pt>
                <c:pt idx="40">
                  <c:v>240</c:v>
                </c:pt>
                <c:pt idx="41">
                  <c:v>240</c:v>
                </c:pt>
                <c:pt idx="42">
                  <c:v>240</c:v>
                </c:pt>
                <c:pt idx="43">
                  <c:v>240</c:v>
                </c:pt>
                <c:pt idx="44">
                  <c:v>240</c:v>
                </c:pt>
                <c:pt idx="45">
                  <c:v>240</c:v>
                </c:pt>
                <c:pt idx="46">
                  <c:v>240</c:v>
                </c:pt>
                <c:pt idx="47">
                  <c:v>240</c:v>
                </c:pt>
                <c:pt idx="48">
                  <c:v>240</c:v>
                </c:pt>
                <c:pt idx="49">
                  <c:v>240</c:v>
                </c:pt>
                <c:pt idx="50">
                  <c:v>240</c:v>
                </c:pt>
                <c:pt idx="51">
                  <c:v>240</c:v>
                </c:pt>
                <c:pt idx="52">
                  <c:v>240</c:v>
                </c:pt>
                <c:pt idx="53">
                  <c:v>240</c:v>
                </c:pt>
                <c:pt idx="54">
                  <c:v>240</c:v>
                </c:pt>
                <c:pt idx="55">
                  <c:v>240</c:v>
                </c:pt>
                <c:pt idx="56">
                  <c:v>240</c:v>
                </c:pt>
                <c:pt idx="57">
                  <c:v>240</c:v>
                </c:pt>
                <c:pt idx="58">
                  <c:v>240</c:v>
                </c:pt>
                <c:pt idx="59">
                  <c:v>240</c:v>
                </c:pt>
                <c:pt idx="60">
                  <c:v>240</c:v>
                </c:pt>
                <c:pt idx="61">
                  <c:v>240</c:v>
                </c:pt>
                <c:pt idx="62">
                  <c:v>240</c:v>
                </c:pt>
                <c:pt idx="63">
                  <c:v>240</c:v>
                </c:pt>
                <c:pt idx="64">
                  <c:v>240</c:v>
                </c:pt>
                <c:pt idx="65">
                  <c:v>240</c:v>
                </c:pt>
                <c:pt idx="66">
                  <c:v>240</c:v>
                </c:pt>
                <c:pt idx="67">
                  <c:v>240</c:v>
                </c:pt>
                <c:pt idx="68">
                  <c:v>240</c:v>
                </c:pt>
                <c:pt idx="69">
                  <c:v>240</c:v>
                </c:pt>
                <c:pt idx="70">
                  <c:v>240</c:v>
                </c:pt>
                <c:pt idx="71">
                  <c:v>240</c:v>
                </c:pt>
                <c:pt idx="72">
                  <c:v>240</c:v>
                </c:pt>
                <c:pt idx="73">
                  <c:v>240</c:v>
                </c:pt>
                <c:pt idx="74">
                  <c:v>240</c:v>
                </c:pt>
                <c:pt idx="75">
                  <c:v>240</c:v>
                </c:pt>
                <c:pt idx="76">
                  <c:v>240</c:v>
                </c:pt>
                <c:pt idx="77">
                  <c:v>240</c:v>
                </c:pt>
                <c:pt idx="78">
                  <c:v>240</c:v>
                </c:pt>
                <c:pt idx="79">
                  <c:v>240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  <c:pt idx="110">
                  <c:v>160</c:v>
                </c:pt>
                <c:pt idx="111">
                  <c:v>160</c:v>
                </c:pt>
                <c:pt idx="112">
                  <c:v>160</c:v>
                </c:pt>
                <c:pt idx="113">
                  <c:v>160</c:v>
                </c:pt>
                <c:pt idx="114">
                  <c:v>160</c:v>
                </c:pt>
                <c:pt idx="115">
                  <c:v>160</c:v>
                </c:pt>
                <c:pt idx="116">
                  <c:v>160</c:v>
                </c:pt>
                <c:pt idx="117">
                  <c:v>160</c:v>
                </c:pt>
                <c:pt idx="118">
                  <c:v>160</c:v>
                </c:pt>
                <c:pt idx="119">
                  <c:v>160</c:v>
                </c:pt>
                <c:pt idx="120">
                  <c:v>160</c:v>
                </c:pt>
                <c:pt idx="121">
                  <c:v>160</c:v>
                </c:pt>
                <c:pt idx="122">
                  <c:v>160</c:v>
                </c:pt>
                <c:pt idx="123">
                  <c:v>160</c:v>
                </c:pt>
                <c:pt idx="124">
                  <c:v>160</c:v>
                </c:pt>
                <c:pt idx="125">
                  <c:v>160</c:v>
                </c:pt>
                <c:pt idx="126">
                  <c:v>160</c:v>
                </c:pt>
                <c:pt idx="127">
                  <c:v>160</c:v>
                </c:pt>
                <c:pt idx="128">
                  <c:v>160</c:v>
                </c:pt>
                <c:pt idx="129">
                  <c:v>160</c:v>
                </c:pt>
                <c:pt idx="130">
                  <c:v>160</c:v>
                </c:pt>
                <c:pt idx="131">
                  <c:v>160</c:v>
                </c:pt>
                <c:pt idx="132">
                  <c:v>160</c:v>
                </c:pt>
                <c:pt idx="133">
                  <c:v>160</c:v>
                </c:pt>
                <c:pt idx="134">
                  <c:v>160</c:v>
                </c:pt>
                <c:pt idx="135">
                  <c:v>160</c:v>
                </c:pt>
                <c:pt idx="136">
                  <c:v>160</c:v>
                </c:pt>
                <c:pt idx="137">
                  <c:v>160</c:v>
                </c:pt>
                <c:pt idx="138">
                  <c:v>160</c:v>
                </c:pt>
                <c:pt idx="139">
                  <c:v>160</c:v>
                </c:pt>
                <c:pt idx="140">
                  <c:v>160</c:v>
                </c:pt>
                <c:pt idx="141">
                  <c:v>160</c:v>
                </c:pt>
                <c:pt idx="142">
                  <c:v>160</c:v>
                </c:pt>
                <c:pt idx="143">
                  <c:v>160</c:v>
                </c:pt>
                <c:pt idx="144">
                  <c:v>160</c:v>
                </c:pt>
                <c:pt idx="145">
                  <c:v>160</c:v>
                </c:pt>
                <c:pt idx="146">
                  <c:v>160</c:v>
                </c:pt>
                <c:pt idx="147">
                  <c:v>160</c:v>
                </c:pt>
                <c:pt idx="148">
                  <c:v>160</c:v>
                </c:pt>
                <c:pt idx="149">
                  <c:v>160</c:v>
                </c:pt>
                <c:pt idx="150">
                  <c:v>160</c:v>
                </c:pt>
                <c:pt idx="151">
                  <c:v>160</c:v>
                </c:pt>
                <c:pt idx="152">
                  <c:v>160</c:v>
                </c:pt>
                <c:pt idx="153">
                  <c:v>160</c:v>
                </c:pt>
                <c:pt idx="154">
                  <c:v>160</c:v>
                </c:pt>
                <c:pt idx="155">
                  <c:v>160</c:v>
                </c:pt>
                <c:pt idx="156">
                  <c:v>160</c:v>
                </c:pt>
                <c:pt idx="157">
                  <c:v>160</c:v>
                </c:pt>
                <c:pt idx="158">
                  <c:v>160</c:v>
                </c:pt>
                <c:pt idx="159">
                  <c:v>160</c:v>
                </c:pt>
                <c:pt idx="160">
                  <c:v>160</c:v>
                </c:pt>
                <c:pt idx="161">
                  <c:v>160</c:v>
                </c:pt>
                <c:pt idx="162">
                  <c:v>160</c:v>
                </c:pt>
                <c:pt idx="163">
                  <c:v>160</c:v>
                </c:pt>
                <c:pt idx="164">
                  <c:v>160</c:v>
                </c:pt>
                <c:pt idx="165">
                  <c:v>160</c:v>
                </c:pt>
                <c:pt idx="166">
                  <c:v>160</c:v>
                </c:pt>
                <c:pt idx="167">
                  <c:v>160</c:v>
                </c:pt>
                <c:pt idx="168">
                  <c:v>160</c:v>
                </c:pt>
                <c:pt idx="169">
                  <c:v>160</c:v>
                </c:pt>
                <c:pt idx="170">
                  <c:v>160</c:v>
                </c:pt>
                <c:pt idx="171">
                  <c:v>160</c:v>
                </c:pt>
                <c:pt idx="172">
                  <c:v>160</c:v>
                </c:pt>
                <c:pt idx="173">
                  <c:v>160</c:v>
                </c:pt>
                <c:pt idx="174">
                  <c:v>160</c:v>
                </c:pt>
                <c:pt idx="175">
                  <c:v>160</c:v>
                </c:pt>
                <c:pt idx="176">
                  <c:v>160</c:v>
                </c:pt>
                <c:pt idx="177">
                  <c:v>160</c:v>
                </c:pt>
                <c:pt idx="178">
                  <c:v>160</c:v>
                </c:pt>
                <c:pt idx="179">
                  <c:v>160</c:v>
                </c:pt>
                <c:pt idx="180">
                  <c:v>160</c:v>
                </c:pt>
                <c:pt idx="181">
                  <c:v>160</c:v>
                </c:pt>
                <c:pt idx="182">
                  <c:v>160</c:v>
                </c:pt>
                <c:pt idx="183">
                  <c:v>160</c:v>
                </c:pt>
                <c:pt idx="184">
                  <c:v>160</c:v>
                </c:pt>
                <c:pt idx="185">
                  <c:v>160</c:v>
                </c:pt>
                <c:pt idx="186">
                  <c:v>160</c:v>
                </c:pt>
                <c:pt idx="187">
                  <c:v>160</c:v>
                </c:pt>
                <c:pt idx="188">
                  <c:v>160</c:v>
                </c:pt>
                <c:pt idx="189">
                  <c:v>160</c:v>
                </c:pt>
                <c:pt idx="190">
                  <c:v>160</c:v>
                </c:pt>
                <c:pt idx="191">
                  <c:v>160</c:v>
                </c:pt>
                <c:pt idx="192">
                  <c:v>160</c:v>
                </c:pt>
                <c:pt idx="193">
                  <c:v>160</c:v>
                </c:pt>
                <c:pt idx="194">
                  <c:v>160</c:v>
                </c:pt>
                <c:pt idx="195">
                  <c:v>160</c:v>
                </c:pt>
                <c:pt idx="196">
                  <c:v>160</c:v>
                </c:pt>
                <c:pt idx="197">
                  <c:v>160</c:v>
                </c:pt>
                <c:pt idx="198">
                  <c:v>160</c:v>
                </c:pt>
                <c:pt idx="199">
                  <c:v>160</c:v>
                </c:pt>
                <c:pt idx="200">
                  <c:v>160</c:v>
                </c:pt>
                <c:pt idx="201">
                  <c:v>160</c:v>
                </c:pt>
                <c:pt idx="202">
                  <c:v>160</c:v>
                </c:pt>
                <c:pt idx="203">
                  <c:v>160</c:v>
                </c:pt>
                <c:pt idx="204">
                  <c:v>160</c:v>
                </c:pt>
                <c:pt idx="205">
                  <c:v>160</c:v>
                </c:pt>
                <c:pt idx="206">
                  <c:v>160</c:v>
                </c:pt>
                <c:pt idx="207">
                  <c:v>120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120</c:v>
                </c:pt>
                <c:pt idx="213">
                  <c:v>120</c:v>
                </c:pt>
                <c:pt idx="214">
                  <c:v>120</c:v>
                </c:pt>
                <c:pt idx="215">
                  <c:v>120</c:v>
                </c:pt>
                <c:pt idx="216">
                  <c:v>120</c:v>
                </c:pt>
                <c:pt idx="217">
                  <c:v>120</c:v>
                </c:pt>
                <c:pt idx="218">
                  <c:v>120</c:v>
                </c:pt>
                <c:pt idx="219">
                  <c:v>120</c:v>
                </c:pt>
                <c:pt idx="220">
                  <c:v>120</c:v>
                </c:pt>
                <c:pt idx="221">
                  <c:v>120</c:v>
                </c:pt>
                <c:pt idx="222">
                  <c:v>120</c:v>
                </c:pt>
                <c:pt idx="223">
                  <c:v>120</c:v>
                </c:pt>
                <c:pt idx="224">
                  <c:v>120</c:v>
                </c:pt>
                <c:pt idx="225">
                  <c:v>120</c:v>
                </c:pt>
                <c:pt idx="226">
                  <c:v>120</c:v>
                </c:pt>
                <c:pt idx="227">
                  <c:v>120</c:v>
                </c:pt>
                <c:pt idx="228">
                  <c:v>120</c:v>
                </c:pt>
                <c:pt idx="229">
                  <c:v>120</c:v>
                </c:pt>
                <c:pt idx="230">
                  <c:v>120</c:v>
                </c:pt>
                <c:pt idx="231">
                  <c:v>120</c:v>
                </c:pt>
                <c:pt idx="232">
                  <c:v>120</c:v>
                </c:pt>
                <c:pt idx="233">
                  <c:v>120</c:v>
                </c:pt>
                <c:pt idx="234">
                  <c:v>120</c:v>
                </c:pt>
                <c:pt idx="235">
                  <c:v>120</c:v>
                </c:pt>
                <c:pt idx="236">
                  <c:v>120</c:v>
                </c:pt>
                <c:pt idx="237">
                  <c:v>120</c:v>
                </c:pt>
                <c:pt idx="238">
                  <c:v>120</c:v>
                </c:pt>
                <c:pt idx="239">
                  <c:v>120</c:v>
                </c:pt>
                <c:pt idx="240">
                  <c:v>120</c:v>
                </c:pt>
                <c:pt idx="241">
                  <c:v>120</c:v>
                </c:pt>
                <c:pt idx="242">
                  <c:v>120</c:v>
                </c:pt>
                <c:pt idx="243">
                  <c:v>120</c:v>
                </c:pt>
                <c:pt idx="244">
                  <c:v>120</c:v>
                </c:pt>
                <c:pt idx="245">
                  <c:v>120</c:v>
                </c:pt>
                <c:pt idx="246">
                  <c:v>120</c:v>
                </c:pt>
                <c:pt idx="247">
                  <c:v>120</c:v>
                </c:pt>
                <c:pt idx="248">
                  <c:v>120</c:v>
                </c:pt>
                <c:pt idx="249">
                  <c:v>120</c:v>
                </c:pt>
                <c:pt idx="250">
                  <c:v>120</c:v>
                </c:pt>
                <c:pt idx="251">
                  <c:v>120</c:v>
                </c:pt>
                <c:pt idx="252">
                  <c:v>120</c:v>
                </c:pt>
                <c:pt idx="253">
                  <c:v>120</c:v>
                </c:pt>
                <c:pt idx="254">
                  <c:v>120</c:v>
                </c:pt>
                <c:pt idx="255">
                  <c:v>120</c:v>
                </c:pt>
                <c:pt idx="256">
                  <c:v>120</c:v>
                </c:pt>
                <c:pt idx="257">
                  <c:v>120</c:v>
                </c:pt>
                <c:pt idx="258">
                  <c:v>120</c:v>
                </c:pt>
                <c:pt idx="259">
                  <c:v>120</c:v>
                </c:pt>
                <c:pt idx="260">
                  <c:v>120</c:v>
                </c:pt>
                <c:pt idx="261">
                  <c:v>120</c:v>
                </c:pt>
                <c:pt idx="262">
                  <c:v>120</c:v>
                </c:pt>
                <c:pt idx="263">
                  <c:v>120</c:v>
                </c:pt>
                <c:pt idx="264">
                  <c:v>120</c:v>
                </c:pt>
                <c:pt idx="265">
                  <c:v>120</c:v>
                </c:pt>
                <c:pt idx="266">
                  <c:v>120</c:v>
                </c:pt>
                <c:pt idx="267">
                  <c:v>120</c:v>
                </c:pt>
                <c:pt idx="268">
                  <c:v>120</c:v>
                </c:pt>
                <c:pt idx="269">
                  <c:v>120</c:v>
                </c:pt>
                <c:pt idx="270">
                  <c:v>120</c:v>
                </c:pt>
                <c:pt idx="271">
                  <c:v>120</c:v>
                </c:pt>
                <c:pt idx="272">
                  <c:v>120</c:v>
                </c:pt>
                <c:pt idx="273">
                  <c:v>120</c:v>
                </c:pt>
                <c:pt idx="274">
                  <c:v>120</c:v>
                </c:pt>
                <c:pt idx="275">
                  <c:v>120</c:v>
                </c:pt>
                <c:pt idx="276">
                  <c:v>120</c:v>
                </c:pt>
                <c:pt idx="277">
                  <c:v>120</c:v>
                </c:pt>
                <c:pt idx="278">
                  <c:v>120</c:v>
                </c:pt>
                <c:pt idx="279">
                  <c:v>120</c:v>
                </c:pt>
                <c:pt idx="280">
                  <c:v>120</c:v>
                </c:pt>
                <c:pt idx="281">
                  <c:v>120</c:v>
                </c:pt>
                <c:pt idx="282">
                  <c:v>120</c:v>
                </c:pt>
                <c:pt idx="283">
                  <c:v>120</c:v>
                </c:pt>
                <c:pt idx="284">
                  <c:v>120</c:v>
                </c:pt>
                <c:pt idx="285">
                  <c:v>120</c:v>
                </c:pt>
                <c:pt idx="286">
                  <c:v>120</c:v>
                </c:pt>
                <c:pt idx="287">
                  <c:v>120</c:v>
                </c:pt>
                <c:pt idx="288">
                  <c:v>120</c:v>
                </c:pt>
                <c:pt idx="289">
                  <c:v>120</c:v>
                </c:pt>
                <c:pt idx="290">
                  <c:v>120</c:v>
                </c:pt>
                <c:pt idx="291">
                  <c:v>120</c:v>
                </c:pt>
                <c:pt idx="292">
                  <c:v>120</c:v>
                </c:pt>
                <c:pt idx="293">
                  <c:v>120</c:v>
                </c:pt>
                <c:pt idx="294">
                  <c:v>120</c:v>
                </c:pt>
                <c:pt idx="295">
                  <c:v>120</c:v>
                </c:pt>
                <c:pt idx="296">
                  <c:v>120</c:v>
                </c:pt>
                <c:pt idx="297">
                  <c:v>120</c:v>
                </c:pt>
                <c:pt idx="298">
                  <c:v>120</c:v>
                </c:pt>
                <c:pt idx="299">
                  <c:v>120</c:v>
                </c:pt>
                <c:pt idx="300">
                  <c:v>120</c:v>
                </c:pt>
                <c:pt idx="301">
                  <c:v>120</c:v>
                </c:pt>
                <c:pt idx="302">
                  <c:v>120</c:v>
                </c:pt>
                <c:pt idx="303">
                  <c:v>120</c:v>
                </c:pt>
                <c:pt idx="304">
                  <c:v>120</c:v>
                </c:pt>
                <c:pt idx="305">
                  <c:v>120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120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120</c:v>
                </c:pt>
                <c:pt idx="317">
                  <c:v>120</c:v>
                </c:pt>
                <c:pt idx="318">
                  <c:v>120</c:v>
                </c:pt>
                <c:pt idx="319">
                  <c:v>120</c:v>
                </c:pt>
                <c:pt idx="320">
                  <c:v>120</c:v>
                </c:pt>
                <c:pt idx="321">
                  <c:v>120</c:v>
                </c:pt>
                <c:pt idx="322">
                  <c:v>120</c:v>
                </c:pt>
                <c:pt idx="323">
                  <c:v>120</c:v>
                </c:pt>
                <c:pt idx="324">
                  <c:v>120</c:v>
                </c:pt>
                <c:pt idx="325">
                  <c:v>120</c:v>
                </c:pt>
                <c:pt idx="326">
                  <c:v>120</c:v>
                </c:pt>
                <c:pt idx="327">
                  <c:v>120</c:v>
                </c:pt>
                <c:pt idx="328">
                  <c:v>120</c:v>
                </c:pt>
                <c:pt idx="329">
                  <c:v>120</c:v>
                </c:pt>
                <c:pt idx="330">
                  <c:v>120</c:v>
                </c:pt>
                <c:pt idx="331">
                  <c:v>120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120</c:v>
                </c:pt>
                <c:pt idx="337">
                  <c:v>120</c:v>
                </c:pt>
                <c:pt idx="338">
                  <c:v>120</c:v>
                </c:pt>
                <c:pt idx="339">
                  <c:v>120</c:v>
                </c:pt>
                <c:pt idx="340">
                  <c:v>120</c:v>
                </c:pt>
                <c:pt idx="341">
                  <c:v>120</c:v>
                </c:pt>
                <c:pt idx="342">
                  <c:v>120</c:v>
                </c:pt>
                <c:pt idx="343">
                  <c:v>120</c:v>
                </c:pt>
                <c:pt idx="344">
                  <c:v>120</c:v>
                </c:pt>
                <c:pt idx="345">
                  <c:v>120</c:v>
                </c:pt>
                <c:pt idx="346">
                  <c:v>120</c:v>
                </c:pt>
                <c:pt idx="347">
                  <c:v>120</c:v>
                </c:pt>
                <c:pt idx="348">
                  <c:v>120</c:v>
                </c:pt>
                <c:pt idx="349">
                  <c:v>120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120</c:v>
                </c:pt>
                <c:pt idx="355">
                  <c:v>120</c:v>
                </c:pt>
                <c:pt idx="356">
                  <c:v>120</c:v>
                </c:pt>
                <c:pt idx="357">
                  <c:v>120</c:v>
                </c:pt>
                <c:pt idx="358">
                  <c:v>120</c:v>
                </c:pt>
                <c:pt idx="359">
                  <c:v>120</c:v>
                </c:pt>
                <c:pt idx="360">
                  <c:v>120</c:v>
                </c:pt>
                <c:pt idx="361">
                  <c:v>120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0</c:v>
                </c:pt>
                <c:pt idx="4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9-495F-8274-048ADADF7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520191"/>
        <c:axId val="425823759"/>
      </c:lineChart>
      <c:catAx>
        <c:axId val="688520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823759"/>
        <c:crosses val="autoZero"/>
        <c:auto val="1"/>
        <c:lblAlgn val="ctr"/>
        <c:lblOffset val="100"/>
        <c:noMultiLvlLbl val="0"/>
      </c:catAx>
      <c:valAx>
        <c:axId val="42582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2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498021</xdr:colOff>
      <xdr:row>6</xdr:row>
      <xdr:rowOff>81642</xdr:rowOff>
    </xdr:from>
    <xdr:to>
      <xdr:col>13</xdr:col>
      <xdr:colOff>498021</xdr:colOff>
      <xdr:row>21</xdr:row>
      <xdr:rowOff>48985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7C4AF-4DE5-C663-AC88-248C09940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B769-081B-40B9-9AB9-09ABA4B1A5DE}">
  <dimension ref="C1:R51"/>
  <sheetViews>
    <sheetView tabSelected="1" topLeftCell="H1" workbookViewId="0">
      <selection activeCell="S12" sqref="S12"/>
    </sheetView>
  </sheetViews>
  <sheetFormatPr defaultRowHeight="14.6" x14ac:dyDescent="0.4"/>
  <cols>
    <col min="3" max="3" width="28.15234375" bestFit="1" customWidth="1"/>
    <col min="5" max="5" width="13.61328125" bestFit="1" customWidth="1"/>
    <col min="9" max="9" width="35.23046875" bestFit="1" customWidth="1"/>
    <col min="10" max="10" width="12.3046875" bestFit="1" customWidth="1"/>
    <col min="11" max="11" width="16.23046875" customWidth="1"/>
    <col min="12" max="12" width="15.765625" style="1" customWidth="1"/>
    <col min="13" max="13" width="18.53515625" style="1" customWidth="1"/>
    <col min="14" max="14" width="9.23046875" style="111"/>
    <col min="15" max="15" width="12.15234375" customWidth="1"/>
  </cols>
  <sheetData>
    <row r="1" spans="3:18" ht="29.6" thickBot="1" x14ac:dyDescent="0.45">
      <c r="I1" s="84"/>
      <c r="J1" s="3" t="s">
        <v>9</v>
      </c>
      <c r="K1" s="76" t="s">
        <v>65</v>
      </c>
      <c r="L1" s="76" t="s">
        <v>66</v>
      </c>
      <c r="M1" s="112" t="s">
        <v>67</v>
      </c>
      <c r="N1" s="161" t="s">
        <v>77</v>
      </c>
      <c r="O1" s="162" t="s">
        <v>87</v>
      </c>
    </row>
    <row r="2" spans="3:18" ht="15" thickBot="1" x14ac:dyDescent="0.45">
      <c r="C2" s="34" t="s">
        <v>40</v>
      </c>
      <c r="D2" s="31"/>
      <c r="E2" s="36" t="s">
        <v>6</v>
      </c>
      <c r="F2" s="37" t="s">
        <v>7</v>
      </c>
      <c r="I2" s="159" t="s">
        <v>8</v>
      </c>
      <c r="J2" s="28">
        <v>2080</v>
      </c>
      <c r="K2" s="32">
        <f>182*12</f>
        <v>2184</v>
      </c>
      <c r="L2" s="32">
        <f>52*36</f>
        <v>1872</v>
      </c>
      <c r="M2" s="32">
        <f>52*24</f>
        <v>1248</v>
      </c>
      <c r="N2" s="96">
        <f>56*52</f>
        <v>2912</v>
      </c>
      <c r="O2" s="21">
        <v>2080</v>
      </c>
    </row>
    <row r="3" spans="3:18" x14ac:dyDescent="0.4">
      <c r="C3" s="33" t="s">
        <v>0</v>
      </c>
      <c r="D3" s="35">
        <f>D16</f>
        <v>30.84</v>
      </c>
      <c r="E3" s="32"/>
      <c r="F3" s="21"/>
      <c r="I3" s="160" t="s">
        <v>10</v>
      </c>
      <c r="J3" s="29"/>
      <c r="K3" s="59"/>
      <c r="L3" s="59"/>
      <c r="M3" s="59"/>
      <c r="N3" s="113"/>
      <c r="O3" s="11"/>
    </row>
    <row r="4" spans="3:18" x14ac:dyDescent="0.4">
      <c r="C4" s="105" t="s">
        <v>76</v>
      </c>
      <c r="D4" s="59"/>
      <c r="E4" s="144">
        <v>0.03</v>
      </c>
      <c r="F4" s="145">
        <f>E4</f>
        <v>0.03</v>
      </c>
      <c r="I4" s="6" t="s">
        <v>11</v>
      </c>
      <c r="J4" s="29">
        <f>D17</f>
        <v>136</v>
      </c>
      <c r="K4" s="59">
        <f>D17</f>
        <v>136</v>
      </c>
      <c r="L4" s="77">
        <f>D17/40*36</f>
        <v>122.39999999999999</v>
      </c>
      <c r="M4" s="77">
        <f>L4</f>
        <v>122.39999999999999</v>
      </c>
      <c r="N4" s="113">
        <f>K4</f>
        <v>136</v>
      </c>
      <c r="O4" s="11">
        <f>J4</f>
        <v>136</v>
      </c>
    </row>
    <row r="5" spans="3:18" x14ac:dyDescent="0.4">
      <c r="C5" s="105" t="s">
        <v>1</v>
      </c>
      <c r="D5" s="59"/>
      <c r="E5" s="146">
        <v>0.01</v>
      </c>
      <c r="F5" s="147"/>
      <c r="I5" s="6" t="s">
        <v>12</v>
      </c>
      <c r="J5" s="29">
        <f>8*D19</f>
        <v>104</v>
      </c>
      <c r="K5" s="78">
        <f>12*(D19-D20)*0.5</f>
        <v>78</v>
      </c>
      <c r="L5" s="77">
        <f>0.233*12*D19</f>
        <v>36.348000000000006</v>
      </c>
      <c r="M5" s="77">
        <f>0.233*12*D19</f>
        <v>36.348000000000006</v>
      </c>
      <c r="N5" s="113">
        <f>K5</f>
        <v>78</v>
      </c>
      <c r="O5" s="11">
        <f t="shared" ref="O5:O28" si="0">J5</f>
        <v>104</v>
      </c>
    </row>
    <row r="6" spans="3:18" x14ac:dyDescent="0.4">
      <c r="C6" s="105" t="s">
        <v>2</v>
      </c>
      <c r="D6" s="59"/>
      <c r="E6" s="144">
        <v>7.6499999999999999E-2</v>
      </c>
      <c r="F6" s="145">
        <v>7.6499999999999999E-2</v>
      </c>
      <c r="I6" s="6" t="s">
        <v>84</v>
      </c>
      <c r="J6" s="83">
        <f>$D23*J2</f>
        <v>71.968000000000004</v>
      </c>
      <c r="K6" s="77">
        <f t="shared" ref="K6:N6" si="1">$D23*K2</f>
        <v>75.566400000000002</v>
      </c>
      <c r="L6" s="77">
        <f t="shared" si="1"/>
        <v>64.771199999999993</v>
      </c>
      <c r="M6" s="77">
        <f t="shared" si="1"/>
        <v>43.180799999999998</v>
      </c>
      <c r="N6" s="77">
        <f t="shared" si="1"/>
        <v>100.7552</v>
      </c>
      <c r="O6" s="22">
        <f t="shared" si="0"/>
        <v>71.968000000000004</v>
      </c>
    </row>
    <row r="7" spans="3:18" x14ac:dyDescent="0.4">
      <c r="C7" s="105" t="s">
        <v>3</v>
      </c>
      <c r="D7" s="59"/>
      <c r="E7" s="144">
        <v>0.05</v>
      </c>
      <c r="F7" s="145">
        <f>E7</f>
        <v>0.05</v>
      </c>
      <c r="I7" s="6" t="s">
        <v>32</v>
      </c>
      <c r="J7" s="83">
        <f>D24*J2</f>
        <v>34.32</v>
      </c>
      <c r="K7" s="77">
        <f>D24*K2</f>
        <v>36.036000000000001</v>
      </c>
      <c r="L7" s="77">
        <f>D24*L2</f>
        <v>30.888000000000002</v>
      </c>
      <c r="M7" s="77">
        <f>D24*M2</f>
        <v>20.592000000000002</v>
      </c>
      <c r="N7" s="77">
        <f>D24*N2</f>
        <v>48.048000000000002</v>
      </c>
      <c r="O7" s="22">
        <f t="shared" si="0"/>
        <v>34.32</v>
      </c>
    </row>
    <row r="8" spans="3:18" ht="15" thickBot="1" x14ac:dyDescent="0.45">
      <c r="C8" s="105" t="s">
        <v>75</v>
      </c>
      <c r="D8" s="59"/>
      <c r="E8" s="144">
        <f>(9.52*260)/(D16*2080)</f>
        <v>3.8586251621271078E-2</v>
      </c>
      <c r="F8" s="145" t="s">
        <v>4</v>
      </c>
      <c r="I8" s="133" t="s">
        <v>82</v>
      </c>
      <c r="J8" s="134">
        <f>$D22*J2</f>
        <v>51.791999999999994</v>
      </c>
      <c r="K8" s="123">
        <f t="shared" ref="K8:N8" si="2">$D22*K2</f>
        <v>54.381599999999999</v>
      </c>
      <c r="L8" s="123">
        <f t="shared" si="2"/>
        <v>46.6128</v>
      </c>
      <c r="M8" s="123">
        <f t="shared" si="2"/>
        <v>31.075199999999999</v>
      </c>
      <c r="N8" s="123">
        <f t="shared" si="2"/>
        <v>72.508799999999994</v>
      </c>
      <c r="O8" s="135">
        <f t="shared" si="0"/>
        <v>51.791999999999994</v>
      </c>
    </row>
    <row r="9" spans="3:18" ht="15" thickBot="1" x14ac:dyDescent="0.45">
      <c r="C9" s="105" t="s">
        <v>5</v>
      </c>
      <c r="D9" s="59"/>
      <c r="E9" s="144">
        <f>28100/(2080*D16)</f>
        <v>0.43805497356081013</v>
      </c>
      <c r="F9" s="141"/>
      <c r="I9" s="132" t="s">
        <v>4</v>
      </c>
      <c r="J9" s="116"/>
      <c r="K9" s="117"/>
      <c r="L9" s="117"/>
      <c r="M9" s="117"/>
      <c r="N9" s="156"/>
      <c r="O9" s="157" t="s">
        <v>4</v>
      </c>
    </row>
    <row r="10" spans="3:18" ht="15" thickBot="1" x14ac:dyDescent="0.45">
      <c r="C10" s="106"/>
      <c r="D10" s="60" t="s">
        <v>41</v>
      </c>
      <c r="E10" s="13">
        <f>SUM(E4:E9)</f>
        <v>0.64314122518208117</v>
      </c>
      <c r="F10" s="14">
        <f>SUM(F4:F9)</f>
        <v>0.1565</v>
      </c>
      <c r="I10" s="4" t="s">
        <v>18</v>
      </c>
      <c r="J10" s="85">
        <f>J2-SUM(J4:J7)</f>
        <v>1733.712</v>
      </c>
      <c r="K10" s="86">
        <f>K2-SUM(K4:K7)</f>
        <v>1858.3976</v>
      </c>
      <c r="L10" s="86">
        <f>L2-SUM(L4:L7)</f>
        <v>1617.5927999999999</v>
      </c>
      <c r="M10" s="86">
        <f>M2-SUM(M4:M7)</f>
        <v>1025.4792</v>
      </c>
      <c r="N10" s="86">
        <f>N2-SUM(N4:N7)</f>
        <v>2549.1968000000002</v>
      </c>
      <c r="O10" s="89">
        <f t="shared" si="0"/>
        <v>1733.712</v>
      </c>
    </row>
    <row r="11" spans="3:18" ht="15" thickBot="1" x14ac:dyDescent="0.45">
      <c r="I11" s="5" t="s">
        <v>28</v>
      </c>
      <c r="J11" s="118">
        <f>J10/J2</f>
        <v>0.83351538461538466</v>
      </c>
      <c r="K11" s="119">
        <f>K10/K2</f>
        <v>0.850914652014652</v>
      </c>
      <c r="L11" s="119">
        <f>L10/L2</f>
        <v>0.86409871794871784</v>
      </c>
      <c r="M11" s="119">
        <f>M10/M2</f>
        <v>0.82169807692307695</v>
      </c>
      <c r="N11" s="119">
        <f>N10/N2</f>
        <v>0.87541098901098902</v>
      </c>
      <c r="O11" s="151">
        <f t="shared" si="0"/>
        <v>0.83351538461538466</v>
      </c>
    </row>
    <row r="12" spans="3:18" ht="15" thickBot="1" x14ac:dyDescent="0.45">
      <c r="E12" s="103" t="s">
        <v>4</v>
      </c>
      <c r="I12" s="5" t="s">
        <v>88</v>
      </c>
      <c r="J12" s="163">
        <f>1-(J10+J5)/J2</f>
        <v>0.11648461538461541</v>
      </c>
      <c r="K12" s="163">
        <f t="shared" ref="K12:O12" si="3">1-(K10+K5)/K2</f>
        <v>0.11337106227106231</v>
      </c>
      <c r="L12" s="163">
        <f t="shared" si="3"/>
        <v>0.11648461538461541</v>
      </c>
      <c r="M12" s="163">
        <f t="shared" si="3"/>
        <v>0.1491769230769231</v>
      </c>
      <c r="N12" s="163">
        <f t="shared" si="3"/>
        <v>9.7803296703296683E-2</v>
      </c>
      <c r="O12" s="163">
        <f t="shared" si="3"/>
        <v>0.11648461538461541</v>
      </c>
    </row>
    <row r="13" spans="3:18" ht="15" thickBot="1" x14ac:dyDescent="0.45">
      <c r="E13" s="104" t="s">
        <v>4</v>
      </c>
      <c r="I13" s="136" t="s">
        <v>19</v>
      </c>
      <c r="J13" s="116"/>
      <c r="K13" s="117"/>
      <c r="L13" s="117"/>
      <c r="M13" s="117"/>
      <c r="N13" s="156"/>
      <c r="O13" s="157" t="s">
        <v>4</v>
      </c>
    </row>
    <row r="14" spans="3:18" ht="15" thickBot="1" x14ac:dyDescent="0.45">
      <c r="I14" s="158" t="s">
        <v>20</v>
      </c>
      <c r="J14" s="87">
        <f>D18</f>
        <v>145.928</v>
      </c>
      <c r="K14" s="88">
        <f>D18</f>
        <v>145.928</v>
      </c>
      <c r="L14" s="88">
        <f>L4*F18</f>
        <v>131.33519999999999</v>
      </c>
      <c r="M14" s="88">
        <f>L14</f>
        <v>131.33519999999999</v>
      </c>
      <c r="N14" s="120">
        <f>K14</f>
        <v>145.928</v>
      </c>
      <c r="O14" s="89">
        <f t="shared" si="0"/>
        <v>145.928</v>
      </c>
      <c r="R14" t="s">
        <v>4</v>
      </c>
    </row>
    <row r="15" spans="3:18" ht="15" thickBot="1" x14ac:dyDescent="0.45">
      <c r="C15" s="138" t="s">
        <v>13</v>
      </c>
      <c r="D15" s="139" t="s">
        <v>14</v>
      </c>
      <c r="E15" s="1" t="s">
        <v>4</v>
      </c>
      <c r="I15" s="6" t="s">
        <v>30</v>
      </c>
      <c r="J15" s="83">
        <v>0</v>
      </c>
      <c r="K15" s="77">
        <f>(49/42-1)*K10</f>
        <v>309.73293333333345</v>
      </c>
      <c r="L15" s="77">
        <f>(40/36-1)*L10</f>
        <v>179.73253333333341</v>
      </c>
      <c r="M15" s="77">
        <f t="shared" ref="M15:M18" si="4">L15</f>
        <v>179.73253333333341</v>
      </c>
      <c r="N15" s="114">
        <f>(69.3/56-1)*N10</f>
        <v>605.43424000000016</v>
      </c>
      <c r="O15" s="22">
        <f>(41.33/40-1)*O10</f>
        <v>57.645924000000001</v>
      </c>
    </row>
    <row r="16" spans="3:18" x14ac:dyDescent="0.4">
      <c r="C16" s="46" t="s">
        <v>15</v>
      </c>
      <c r="D16" s="140">
        <v>30.84</v>
      </c>
      <c r="E16" s="1" t="s">
        <v>4</v>
      </c>
      <c r="I16" s="6" t="s">
        <v>31</v>
      </c>
      <c r="J16" s="83">
        <f>D27/2/D16*J10</f>
        <v>9.3693904020752274</v>
      </c>
      <c r="K16" s="77">
        <f>D27/2/D16*K10</f>
        <v>10.043220925205361</v>
      </c>
      <c r="L16" s="77">
        <f>D27/2/D16*L10</f>
        <v>8.7418547341115431</v>
      </c>
      <c r="M16" s="77">
        <f t="shared" si="4"/>
        <v>8.7418547341115431</v>
      </c>
      <c r="N16" s="77">
        <f>D27/2/D16*N10</f>
        <v>13.776463467358409</v>
      </c>
      <c r="O16" s="22">
        <f t="shared" si="0"/>
        <v>9.3693904020752274</v>
      </c>
    </row>
    <row r="17" spans="3:17" ht="15" thickBot="1" x14ac:dyDescent="0.45">
      <c r="C17" s="29" t="s">
        <v>78</v>
      </c>
      <c r="D17" s="141">
        <v>136</v>
      </c>
      <c r="E17" s="1" t="s">
        <v>4</v>
      </c>
      <c r="I17" s="6" t="s">
        <v>21</v>
      </c>
      <c r="J17" s="29">
        <f>D19*8</f>
        <v>104</v>
      </c>
      <c r="K17" s="79">
        <f>0.5*D19*8+0.5*D19*12</f>
        <v>130</v>
      </c>
      <c r="L17" s="78">
        <f>L5+(1-0.223)*12*8</f>
        <v>110.94</v>
      </c>
      <c r="M17" s="77">
        <f t="shared" si="4"/>
        <v>110.94</v>
      </c>
      <c r="N17" s="114">
        <f>0.33*D19*8+0.67*D19*12</f>
        <v>138.84</v>
      </c>
      <c r="O17" s="11">
        <f t="shared" si="0"/>
        <v>104</v>
      </c>
    </row>
    <row r="18" spans="3:17" ht="15" thickBot="1" x14ac:dyDescent="0.45">
      <c r="C18" s="29" t="s">
        <v>33</v>
      </c>
      <c r="D18" s="141">
        <f>F18*D17</f>
        <v>145.928</v>
      </c>
      <c r="E18" s="2" t="s">
        <v>63</v>
      </c>
      <c r="F18" s="74">
        <v>1.073</v>
      </c>
      <c r="I18" s="6" t="s">
        <v>22</v>
      </c>
      <c r="J18" s="29">
        <f>D20*8</f>
        <v>0</v>
      </c>
      <c r="K18" s="59">
        <f>D20*12*0.5</f>
        <v>0</v>
      </c>
      <c r="L18" s="77">
        <f>D20*12*4/7</f>
        <v>0</v>
      </c>
      <c r="M18" s="77">
        <f t="shared" si="4"/>
        <v>0</v>
      </c>
      <c r="N18" s="114">
        <f t="shared" ref="N18" si="5">K18</f>
        <v>0</v>
      </c>
      <c r="O18" s="11">
        <f t="shared" si="0"/>
        <v>0</v>
      </c>
    </row>
    <row r="19" spans="3:17" ht="15" thickBot="1" x14ac:dyDescent="0.45">
      <c r="C19" s="29" t="s">
        <v>16</v>
      </c>
      <c r="D19" s="141">
        <v>13</v>
      </c>
      <c r="E19" s="1" t="s">
        <v>4</v>
      </c>
      <c r="I19" s="133" t="s">
        <v>82</v>
      </c>
      <c r="J19" s="134">
        <f>J8</f>
        <v>51.791999999999994</v>
      </c>
      <c r="K19" s="123">
        <f>K8</f>
        <v>54.381599999999999</v>
      </c>
      <c r="L19" s="123">
        <f>L8</f>
        <v>46.6128</v>
      </c>
      <c r="M19" s="123">
        <f>M8</f>
        <v>31.075199999999999</v>
      </c>
      <c r="N19" s="123">
        <f>N8</f>
        <v>72.508799999999994</v>
      </c>
      <c r="O19" s="135">
        <f t="shared" si="0"/>
        <v>51.791999999999994</v>
      </c>
    </row>
    <row r="20" spans="3:17" ht="15" thickBot="1" x14ac:dyDescent="0.45">
      <c r="C20" s="29" t="s">
        <v>17</v>
      </c>
      <c r="D20" s="141">
        <v>0</v>
      </c>
      <c r="E20" s="1" t="s">
        <v>4</v>
      </c>
      <c r="I20" s="137"/>
      <c r="J20" s="121"/>
      <c r="K20" s="122"/>
      <c r="L20" s="117"/>
      <c r="M20" s="117"/>
      <c r="N20" s="156"/>
      <c r="O20" s="157" t="s">
        <v>4</v>
      </c>
    </row>
    <row r="21" spans="3:17" ht="15" thickBot="1" x14ac:dyDescent="0.45">
      <c r="C21" s="29" t="s">
        <v>22</v>
      </c>
      <c r="D21" s="141">
        <v>2</v>
      </c>
      <c r="E21" s="1" t="s">
        <v>4</v>
      </c>
      <c r="I21" s="4" t="s">
        <v>23</v>
      </c>
      <c r="J21" s="152">
        <f>J10+SUM(J14:J18)</f>
        <v>1993.0093904020753</v>
      </c>
      <c r="K21" s="153">
        <f>K10+SUM(K14:K18)</f>
        <v>2454.1017542585387</v>
      </c>
      <c r="L21" s="153">
        <f>L10+SUM(L14:L18)</f>
        <v>2048.342388067445</v>
      </c>
      <c r="M21" s="153">
        <f>L21</f>
        <v>2048.342388067445</v>
      </c>
      <c r="N21" s="154">
        <f>N10+SUM(N14:N18)</f>
        <v>3453.1755034673588</v>
      </c>
      <c r="O21" s="155">
        <f>O10+SUM(O14:O19)</f>
        <v>2102.4473144020753</v>
      </c>
    </row>
    <row r="22" spans="3:17" x14ac:dyDescent="0.4">
      <c r="C22" s="29" t="s">
        <v>83</v>
      </c>
      <c r="D22" s="142">
        <v>2.4899999999999999E-2</v>
      </c>
      <c r="E22" s="1" t="s">
        <v>4</v>
      </c>
      <c r="I22" s="8" t="s">
        <v>29</v>
      </c>
      <c r="J22" s="107">
        <f>J21/J10</f>
        <v>1.1495619747697861</v>
      </c>
      <c r="K22" s="90">
        <f>K21/K10</f>
        <v>1.3205472038160933</v>
      </c>
      <c r="L22" s="90">
        <f>L21/L10</f>
        <v>1.2662904953999827</v>
      </c>
      <c r="M22" s="90">
        <f>M21/M10</f>
        <v>1.997448985866749</v>
      </c>
      <c r="N22" s="90">
        <f>N21/N10</f>
        <v>1.3546131485287283</v>
      </c>
      <c r="O22" s="23">
        <f>O21/O10</f>
        <v>1.2126854485647416</v>
      </c>
    </row>
    <row r="23" spans="3:17" x14ac:dyDescent="0.4">
      <c r="C23" s="29" t="s">
        <v>81</v>
      </c>
      <c r="D23" s="142">
        <v>3.4599999999999999E-2</v>
      </c>
      <c r="E23" s="1"/>
      <c r="F23" t="s">
        <v>4</v>
      </c>
      <c r="I23" s="6" t="s">
        <v>24</v>
      </c>
      <c r="J23" s="108">
        <f>D16</f>
        <v>30.84</v>
      </c>
      <c r="K23" s="80">
        <f>D16</f>
        <v>30.84</v>
      </c>
      <c r="L23" s="80">
        <f>K23</f>
        <v>30.84</v>
      </c>
      <c r="M23" s="80">
        <f>L23</f>
        <v>30.84</v>
      </c>
      <c r="N23" s="80">
        <f>M23</f>
        <v>30.84</v>
      </c>
      <c r="O23" s="11">
        <f t="shared" si="0"/>
        <v>30.84</v>
      </c>
    </row>
    <row r="24" spans="3:17" x14ac:dyDescent="0.4">
      <c r="C24" s="29" t="s">
        <v>32</v>
      </c>
      <c r="D24" s="142">
        <v>1.6500000000000001E-2</v>
      </c>
      <c r="E24" s="1"/>
      <c r="I24" s="6" t="s">
        <v>25</v>
      </c>
      <c r="J24" s="109">
        <f>E10</f>
        <v>0.64314122518208117</v>
      </c>
      <c r="K24" s="12">
        <f>E10*40/42</f>
        <v>0.61251545255436302</v>
      </c>
      <c r="L24" s="81">
        <f>E10*40/36</f>
        <v>0.71460136131342344</v>
      </c>
      <c r="M24" s="81">
        <f>E10*40/24</f>
        <v>1.0719020419701353</v>
      </c>
      <c r="N24" s="115">
        <f>J2/N2*J24</f>
        <v>0.45938658941577226</v>
      </c>
      <c r="O24" s="25">
        <f t="shared" si="0"/>
        <v>0.64314122518208117</v>
      </c>
    </row>
    <row r="25" spans="3:17" ht="15" thickBot="1" x14ac:dyDescent="0.45">
      <c r="C25" s="29" t="s">
        <v>34</v>
      </c>
      <c r="D25" s="141">
        <v>0.25</v>
      </c>
      <c r="I25" s="7" t="s">
        <v>26</v>
      </c>
      <c r="J25" s="110">
        <f>F10</f>
        <v>0.1565</v>
      </c>
      <c r="K25" s="91">
        <f>F10</f>
        <v>0.1565</v>
      </c>
      <c r="L25" s="91">
        <f>K25</f>
        <v>0.1565</v>
      </c>
      <c r="M25" s="91">
        <f>L25</f>
        <v>0.1565</v>
      </c>
      <c r="N25" s="91">
        <f>M25</f>
        <v>0.1565</v>
      </c>
      <c r="O25" s="151">
        <f t="shared" si="0"/>
        <v>0.1565</v>
      </c>
    </row>
    <row r="26" spans="3:17" x14ac:dyDescent="0.4">
      <c r="C26" s="29" t="s">
        <v>35</v>
      </c>
      <c r="D26" s="141">
        <v>0.25</v>
      </c>
      <c r="I26" s="9" t="s">
        <v>27</v>
      </c>
      <c r="J26" s="125">
        <f t="shared" ref="J26" si="6">J23*J22*(1+J24)</f>
        <v>58.253449993561375</v>
      </c>
      <c r="K26" s="149">
        <f t="shared" ref="K26:M26" si="7">K23*K22*(1+K24)</f>
        <v>65.670781487891148</v>
      </c>
      <c r="L26" s="126">
        <f t="shared" si="7"/>
        <v>66.959296279005883</v>
      </c>
      <c r="M26" s="126">
        <f t="shared" si="7"/>
        <v>127.63191462779554</v>
      </c>
      <c r="N26" s="126">
        <f t="shared" ref="N26" si="8">N23*N22*(1+N24)</f>
        <v>60.967727465032695</v>
      </c>
      <c r="O26" s="150">
        <f>O23*O22*(1+O24)</f>
        <v>61.452198912575263</v>
      </c>
    </row>
    <row r="27" spans="3:17" ht="15" thickBot="1" x14ac:dyDescent="0.45">
      <c r="C27" s="30" t="s">
        <v>64</v>
      </c>
      <c r="D27" s="143">
        <f>(8*D25+8*D26)/12</f>
        <v>0.33333333333333331</v>
      </c>
      <c r="I27" s="18" t="s">
        <v>36</v>
      </c>
      <c r="J27" s="20">
        <f>J23*1.5*(1+J25)</f>
        <v>53.499690000000001</v>
      </c>
      <c r="K27" s="82">
        <f>K23*1.5*(1+K25)</f>
        <v>53.499690000000001</v>
      </c>
      <c r="L27" s="82">
        <f>L23*1.5*(1+L25)</f>
        <v>53.499690000000001</v>
      </c>
      <c r="M27" s="82">
        <f>L27</f>
        <v>53.499690000000001</v>
      </c>
      <c r="N27" s="82">
        <f>M27</f>
        <v>53.499690000000001</v>
      </c>
      <c r="O27" s="24">
        <f>N27</f>
        <v>53.499690000000001</v>
      </c>
    </row>
    <row r="28" spans="3:17" x14ac:dyDescent="0.4">
      <c r="C28" s="1" t="s">
        <v>4</v>
      </c>
      <c r="D28" s="1" t="s">
        <v>4</v>
      </c>
      <c r="I28" s="18" t="s">
        <v>37</v>
      </c>
      <c r="J28" s="20">
        <f>J23*(1+F10)*2</f>
        <v>71.332920000000001</v>
      </c>
      <c r="K28" s="82">
        <f>K23*(1+F10)*2</f>
        <v>71.332920000000001</v>
      </c>
      <c r="L28" s="82">
        <f>K28</f>
        <v>71.332920000000001</v>
      </c>
      <c r="M28" s="82">
        <f>L28</f>
        <v>71.332920000000001</v>
      </c>
      <c r="N28" s="82">
        <f>M28</f>
        <v>71.332920000000001</v>
      </c>
      <c r="O28" s="24">
        <f t="shared" si="0"/>
        <v>71.332920000000001</v>
      </c>
    </row>
    <row r="29" spans="3:17" x14ac:dyDescent="0.4">
      <c r="I29" s="18" t="s">
        <v>38</v>
      </c>
      <c r="J29" s="20">
        <f>J27-J26</f>
        <v>-4.7537599935613741</v>
      </c>
      <c r="K29" s="82">
        <f t="shared" ref="K29" si="9">K27-K26</f>
        <v>-12.171091487891147</v>
      </c>
      <c r="L29" s="82">
        <f t="shared" ref="L29:M29" si="10">L27-L26</f>
        <v>-13.459606279005882</v>
      </c>
      <c r="M29" s="82">
        <f t="shared" si="10"/>
        <v>-74.132224627795537</v>
      </c>
      <c r="N29" s="82">
        <f t="shared" ref="N29" si="11">N27-N26</f>
        <v>-7.4680374650326939</v>
      </c>
      <c r="O29" s="17">
        <f>O27-O26</f>
        <v>-7.9525089125752615</v>
      </c>
    </row>
    <row r="30" spans="3:17" ht="15" thickBot="1" x14ac:dyDescent="0.45">
      <c r="I30" s="19" t="s">
        <v>39</v>
      </c>
      <c r="J30" s="26">
        <f>J26-J26</f>
        <v>0</v>
      </c>
      <c r="K30" s="92">
        <f>K26-J26</f>
        <v>7.4173314943297726</v>
      </c>
      <c r="L30" s="92">
        <f>L26-J26</f>
        <v>8.7058462854445082</v>
      </c>
      <c r="M30" s="92">
        <f>M26-J26</f>
        <v>69.378464634234163</v>
      </c>
      <c r="N30" s="92">
        <f>N26-J26</f>
        <v>2.7142774714713198</v>
      </c>
      <c r="O30" s="27">
        <f>O26-J26</f>
        <v>3.1987489190138874</v>
      </c>
      <c r="P30" t="s">
        <v>4</v>
      </c>
    </row>
    <row r="31" spans="3:17" ht="15" thickBot="1" x14ac:dyDescent="0.45">
      <c r="L31"/>
      <c r="M31"/>
    </row>
    <row r="32" spans="3:17" ht="29.15" x14ac:dyDescent="0.4">
      <c r="I32" s="95"/>
      <c r="J32" s="96" t="s">
        <v>69</v>
      </c>
      <c r="K32" s="97" t="s">
        <v>85</v>
      </c>
      <c r="L32" s="97" t="s">
        <v>71</v>
      </c>
      <c r="M32" s="98" t="s">
        <v>72</v>
      </c>
      <c r="Q32" t="s">
        <v>4</v>
      </c>
    </row>
    <row r="33" spans="6:14" ht="29.15" x14ac:dyDescent="0.4">
      <c r="I33" s="99" t="s">
        <v>68</v>
      </c>
      <c r="J33" s="94">
        <f>(120*J26+24*J27+24*J28)/168</f>
        <v>59.442837138258128</v>
      </c>
      <c r="K33" s="129">
        <f>100*J33*168*52</f>
        <v>51929262.523982301</v>
      </c>
      <c r="L33" s="94">
        <f>(40*J23+8*1.5*J23+8*2*J23)*52</f>
        <v>109050.23999999999</v>
      </c>
      <c r="M33" s="100">
        <v>0</v>
      </c>
    </row>
    <row r="34" spans="6:14" ht="29.15" x14ac:dyDescent="0.4">
      <c r="I34" s="99" t="s">
        <v>70</v>
      </c>
      <c r="J34" s="94">
        <f>K26</f>
        <v>65.670781487891148</v>
      </c>
      <c r="K34" s="129">
        <f>100*J34*168*52</f>
        <v>57369994.707821704</v>
      </c>
      <c r="L34" s="94">
        <f>49*J23*52</f>
        <v>78580.320000000007</v>
      </c>
      <c r="M34" s="100">
        <v>182</v>
      </c>
    </row>
    <row r="35" spans="6:14" x14ac:dyDescent="0.4">
      <c r="F35" t="s">
        <v>4</v>
      </c>
      <c r="I35" s="101" t="s">
        <v>73</v>
      </c>
      <c r="J35" s="93"/>
      <c r="K35" s="130"/>
      <c r="L35" s="77">
        <f>(L33-L34)/(1.5*J23*12)</f>
        <v>54.888888888888857</v>
      </c>
      <c r="M35" s="22">
        <f>M34-L35</f>
        <v>127.11111111111114</v>
      </c>
    </row>
    <row r="36" spans="6:14" ht="43.75" x14ac:dyDescent="0.4">
      <c r="I36" s="127" t="s">
        <v>74</v>
      </c>
      <c r="J36" s="94">
        <f>(120*J26+0.75*24*J27+0.75*24*J28+0.25*48*M26)/168</f>
        <v>64.101094968814948</v>
      </c>
      <c r="K36" s="129">
        <f>100*168*52*J36</f>
        <v>55998716.564756736</v>
      </c>
      <c r="L36" s="94">
        <f>(40*J23+6*1.5*J23+6*2*J23)*52</f>
        <v>97824.479999999981</v>
      </c>
      <c r="M36" s="100">
        <v>26</v>
      </c>
    </row>
    <row r="37" spans="6:14" x14ac:dyDescent="0.4">
      <c r="I37" s="105" t="s">
        <v>79</v>
      </c>
      <c r="J37" s="82">
        <f>J23*(J22-1+J24)</f>
        <v>24.446966686515584</v>
      </c>
      <c r="K37" s="130"/>
      <c r="L37" s="59"/>
      <c r="M37" s="11"/>
    </row>
    <row r="38" spans="6:14" x14ac:dyDescent="0.4">
      <c r="I38" s="105" t="s">
        <v>80</v>
      </c>
      <c r="J38" s="82">
        <f>J26-J37</f>
        <v>33.806483307045795</v>
      </c>
      <c r="K38" s="130"/>
      <c r="L38" s="59"/>
      <c r="M38" s="11"/>
    </row>
    <row r="39" spans="6:14" ht="29.6" thickBot="1" x14ac:dyDescent="0.45">
      <c r="I39" s="128" t="s">
        <v>86</v>
      </c>
      <c r="J39" s="148">
        <v>60.77</v>
      </c>
      <c r="K39" s="131">
        <f>100*168*52*J39</f>
        <v>53088672</v>
      </c>
      <c r="L39" s="102">
        <f>69.3*52*L23</f>
        <v>111135.02399999999</v>
      </c>
      <c r="M39" s="124">
        <f>364/3</f>
        <v>121.33333333333333</v>
      </c>
    </row>
    <row r="40" spans="6:14" x14ac:dyDescent="0.4">
      <c r="H40" s="1"/>
    </row>
    <row r="41" spans="6:14" x14ac:dyDescent="0.4">
      <c r="H41" s="1"/>
      <c r="I41" s="1"/>
      <c r="J41" s="111"/>
      <c r="L41"/>
      <c r="M41"/>
      <c r="N41"/>
    </row>
    <row r="42" spans="6:14" x14ac:dyDescent="0.4">
      <c r="H42" s="1"/>
      <c r="I42" s="1"/>
      <c r="J42" s="111"/>
      <c r="L42"/>
      <c r="M42"/>
      <c r="N42"/>
    </row>
    <row r="43" spans="6:14" x14ac:dyDescent="0.4">
      <c r="H43" s="1"/>
      <c r="I43" s="1"/>
      <c r="J43" s="111"/>
      <c r="L43"/>
      <c r="M43"/>
      <c r="N43"/>
    </row>
    <row r="44" spans="6:14" x14ac:dyDescent="0.4">
      <c r="H44" s="1"/>
      <c r="I44" s="1"/>
      <c r="J44" s="111"/>
      <c r="L44"/>
      <c r="M44"/>
      <c r="N44"/>
    </row>
    <row r="45" spans="6:14" x14ac:dyDescent="0.4">
      <c r="H45" s="1"/>
      <c r="I45" s="1"/>
      <c r="J45" s="111"/>
      <c r="L45"/>
      <c r="M45"/>
      <c r="N45"/>
    </row>
    <row r="46" spans="6:14" x14ac:dyDescent="0.4">
      <c r="H46" s="1"/>
      <c r="I46" s="1"/>
      <c r="J46" s="111"/>
      <c r="L46"/>
      <c r="M46"/>
      <c r="N46"/>
    </row>
    <row r="47" spans="6:14" x14ac:dyDescent="0.4">
      <c r="H47" s="1"/>
      <c r="I47" s="1"/>
      <c r="J47" s="111"/>
      <c r="L47"/>
      <c r="M47"/>
      <c r="N47"/>
    </row>
    <row r="48" spans="6:14" x14ac:dyDescent="0.4">
      <c r="H48" s="1"/>
      <c r="I48" s="1"/>
      <c r="J48" s="111"/>
      <c r="L48"/>
      <c r="M48"/>
      <c r="N48"/>
    </row>
    <row r="49" spans="8:14" x14ac:dyDescent="0.4">
      <c r="H49" s="1"/>
      <c r="I49" s="1"/>
      <c r="J49" s="111"/>
      <c r="L49"/>
      <c r="M49"/>
      <c r="N49"/>
    </row>
    <row r="50" spans="8:14" x14ac:dyDescent="0.4">
      <c r="H50" s="1"/>
      <c r="I50" s="1"/>
      <c r="J50" s="111"/>
      <c r="L50"/>
      <c r="M50"/>
      <c r="N50"/>
    </row>
    <row r="51" spans="8:14" x14ac:dyDescent="0.4">
      <c r="I51" s="1"/>
      <c r="J51" s="111"/>
      <c r="L51"/>
      <c r="M51"/>
      <c r="N5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284B-DC70-49C7-89E0-226DD3021821}">
  <dimension ref="E3:R13"/>
  <sheetViews>
    <sheetView topLeftCell="G1" workbookViewId="0">
      <selection activeCell="K15" sqref="K15"/>
    </sheetView>
  </sheetViews>
  <sheetFormatPr defaultRowHeight="14.6" x14ac:dyDescent="0.4"/>
  <cols>
    <col min="4" max="4" width="16.07421875" bestFit="1" customWidth="1"/>
    <col min="6" max="6" width="17.3046875" bestFit="1" customWidth="1"/>
    <col min="7" max="7" width="12.53515625" customWidth="1"/>
    <col min="8" max="8" width="32" bestFit="1" customWidth="1"/>
    <col min="9" max="9" width="14.61328125" bestFit="1" customWidth="1"/>
    <col min="10" max="10" width="12.921875" customWidth="1"/>
    <col min="12" max="12" width="25.765625" bestFit="1" customWidth="1"/>
    <col min="13" max="13" width="9.61328125" customWidth="1"/>
    <col min="14" max="14" width="9.69140625" customWidth="1"/>
    <col min="15" max="15" width="10.69140625" customWidth="1"/>
    <col min="16" max="16" width="11.07421875" customWidth="1"/>
    <col min="17" max="17" width="15.23046875" customWidth="1"/>
    <col min="18" max="18" width="12.61328125" customWidth="1"/>
  </cols>
  <sheetData>
    <row r="3" spans="5:18" ht="15" thickBot="1" x14ac:dyDescent="0.45"/>
    <row r="4" spans="5:18" ht="29.6" thickBot="1" x14ac:dyDescent="0.45">
      <c r="M4" s="64" t="s">
        <v>57</v>
      </c>
      <c r="N4" s="65" t="s">
        <v>58</v>
      </c>
      <c r="O4" s="65" t="s">
        <v>59</v>
      </c>
      <c r="P4" s="65" t="s">
        <v>60</v>
      </c>
      <c r="Q4" s="66" t="s">
        <v>61</v>
      </c>
      <c r="R4" s="70" t="s">
        <v>62</v>
      </c>
    </row>
    <row r="5" spans="5:18" ht="15" thickBot="1" x14ac:dyDescent="0.45">
      <c r="F5" s="50" t="s">
        <v>42</v>
      </c>
      <c r="G5" s="51" t="s">
        <v>44</v>
      </c>
      <c r="H5" s="51" t="s">
        <v>43</v>
      </c>
      <c r="I5" s="51" t="s">
        <v>45</v>
      </c>
      <c r="J5" s="52" t="s">
        <v>43</v>
      </c>
      <c r="L5" s="63" t="s">
        <v>52</v>
      </c>
      <c r="M5" s="28">
        <v>104</v>
      </c>
      <c r="N5" s="32">
        <v>260</v>
      </c>
      <c r="O5" s="32">
        <v>52</v>
      </c>
      <c r="P5" s="32">
        <v>52</v>
      </c>
      <c r="Q5" s="67">
        <f>52*40*28</f>
        <v>58240</v>
      </c>
      <c r="R5" s="71">
        <v>47.622264657055695</v>
      </c>
    </row>
    <row r="6" spans="5:18" x14ac:dyDescent="0.4">
      <c r="F6" s="46">
        <v>5</v>
      </c>
      <c r="G6" s="47">
        <v>520000</v>
      </c>
      <c r="H6" s="15" t="s">
        <v>46</v>
      </c>
      <c r="I6" s="48">
        <v>24788400</v>
      </c>
      <c r="J6" s="49" t="s">
        <v>47</v>
      </c>
      <c r="L6" s="61" t="s">
        <v>53</v>
      </c>
      <c r="M6" s="29">
        <v>52</v>
      </c>
      <c r="N6" s="59">
        <v>312</v>
      </c>
      <c r="O6" s="59">
        <v>0</v>
      </c>
      <c r="P6" s="59">
        <v>52</v>
      </c>
      <c r="Q6" s="68">
        <f>52*49*28</f>
        <v>71344</v>
      </c>
      <c r="R6" s="10">
        <v>47.66</v>
      </c>
    </row>
    <row r="7" spans="5:18" x14ac:dyDescent="0.4">
      <c r="F7" s="29">
        <v>6</v>
      </c>
      <c r="G7" s="44">
        <v>624000</v>
      </c>
      <c r="H7" s="39">
        <v>0.2</v>
      </c>
      <c r="I7" s="38">
        <v>29459040</v>
      </c>
      <c r="J7" s="40">
        <v>0.19</v>
      </c>
      <c r="L7" s="61" t="s">
        <v>54</v>
      </c>
      <c r="M7" s="29">
        <v>0</v>
      </c>
      <c r="N7" s="59">
        <v>364</v>
      </c>
      <c r="O7" s="59">
        <v>0</v>
      </c>
      <c r="P7" s="59">
        <v>0</v>
      </c>
      <c r="Q7" s="68">
        <f>61*52*28</f>
        <v>88816</v>
      </c>
      <c r="R7" s="72">
        <v>48.33</v>
      </c>
    </row>
    <row r="8" spans="5:18" ht="15" thickBot="1" x14ac:dyDescent="0.45">
      <c r="E8" s="16"/>
      <c r="F8" s="30">
        <v>7</v>
      </c>
      <c r="G8" s="45">
        <v>727272</v>
      </c>
      <c r="H8" s="41">
        <v>0.4</v>
      </c>
      <c r="I8" s="42">
        <v>39396324</v>
      </c>
      <c r="J8" s="43">
        <v>0.59</v>
      </c>
      <c r="L8" s="61" t="s">
        <v>55</v>
      </c>
      <c r="M8" s="29">
        <v>156</v>
      </c>
      <c r="N8" s="59">
        <v>208</v>
      </c>
      <c r="O8" s="59">
        <v>17</v>
      </c>
      <c r="P8" s="59">
        <v>52</v>
      </c>
      <c r="Q8" s="68">
        <f>52*52*28</f>
        <v>75712</v>
      </c>
      <c r="R8" s="10">
        <v>47.21</v>
      </c>
    </row>
    <row r="9" spans="5:18" ht="15" thickBot="1" x14ac:dyDescent="0.45">
      <c r="F9" s="1"/>
      <c r="G9" s="1"/>
      <c r="H9" s="1"/>
      <c r="I9" s="1"/>
      <c r="J9" s="1"/>
      <c r="L9" s="62" t="s">
        <v>56</v>
      </c>
      <c r="M9" s="30">
        <v>182</v>
      </c>
      <c r="N9" s="60">
        <v>182</v>
      </c>
      <c r="O9" s="60">
        <v>26</v>
      </c>
      <c r="P9" s="60">
        <v>26</v>
      </c>
      <c r="Q9" s="69">
        <f>50*52*28</f>
        <v>72800</v>
      </c>
      <c r="R9" s="73">
        <v>54.17</v>
      </c>
    </row>
    <row r="10" spans="5:18" ht="15" thickBot="1" x14ac:dyDescent="0.45">
      <c r="F10" s="53" t="s">
        <v>42</v>
      </c>
      <c r="G10" s="54" t="s">
        <v>44</v>
      </c>
      <c r="H10" s="54" t="s">
        <v>51</v>
      </c>
      <c r="I10" s="1"/>
      <c r="J10" s="1"/>
    </row>
    <row r="11" spans="5:18" x14ac:dyDescent="0.4">
      <c r="F11" s="28">
        <v>5</v>
      </c>
      <c r="G11" s="55">
        <v>520000</v>
      </c>
      <c r="H11" s="56" t="s">
        <v>48</v>
      </c>
      <c r="I11" s="1"/>
      <c r="J11" s="1"/>
    </row>
    <row r="12" spans="5:18" x14ac:dyDescent="0.4">
      <c r="F12" s="29">
        <v>6</v>
      </c>
      <c r="G12" s="44">
        <v>624000</v>
      </c>
      <c r="H12" s="57" t="s">
        <v>49</v>
      </c>
    </row>
    <row r="13" spans="5:18" ht="15" thickBot="1" x14ac:dyDescent="0.45">
      <c r="F13" s="30">
        <v>7</v>
      </c>
      <c r="G13" s="45">
        <v>727272</v>
      </c>
      <c r="H13" s="58" t="s">
        <v>50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2FD1-B92F-488A-B396-F1C72B4D2282}">
  <dimension ref="B2:C498"/>
  <sheetViews>
    <sheetView topLeftCell="A4" workbookViewId="0">
      <selection activeCell="J28" sqref="J28"/>
    </sheetView>
  </sheetViews>
  <sheetFormatPr defaultRowHeight="14.6" x14ac:dyDescent="0.4"/>
  <cols>
    <col min="2" max="2" width="9.765625" bestFit="1" customWidth="1"/>
  </cols>
  <sheetData>
    <row r="2" spans="2:3" x14ac:dyDescent="0.4">
      <c r="B2" s="75">
        <v>27260</v>
      </c>
      <c r="C2">
        <v>240</v>
      </c>
    </row>
    <row r="3" spans="2:3" x14ac:dyDescent="0.4">
      <c r="B3" s="75">
        <v>27275</v>
      </c>
      <c r="C3">
        <v>240</v>
      </c>
    </row>
    <row r="4" spans="2:3" x14ac:dyDescent="0.4">
      <c r="B4" s="75">
        <v>27323</v>
      </c>
      <c r="C4">
        <v>240</v>
      </c>
    </row>
    <row r="5" spans="2:3" x14ac:dyDescent="0.4">
      <c r="B5" s="75">
        <v>27470</v>
      </c>
      <c r="C5">
        <v>240</v>
      </c>
    </row>
    <row r="6" spans="2:3" x14ac:dyDescent="0.4">
      <c r="B6" s="75">
        <v>27673</v>
      </c>
      <c r="C6">
        <v>240</v>
      </c>
    </row>
    <row r="7" spans="2:3" x14ac:dyDescent="0.4">
      <c r="B7" s="75">
        <v>27729</v>
      </c>
      <c r="C7">
        <v>240</v>
      </c>
    </row>
    <row r="8" spans="2:3" x14ac:dyDescent="0.4">
      <c r="B8" s="75">
        <v>27925</v>
      </c>
      <c r="C8">
        <v>240</v>
      </c>
    </row>
    <row r="9" spans="2:3" x14ac:dyDescent="0.4">
      <c r="B9" s="75">
        <v>28065</v>
      </c>
      <c r="C9">
        <v>240</v>
      </c>
    </row>
    <row r="10" spans="2:3" x14ac:dyDescent="0.4">
      <c r="B10" s="75">
        <v>28345</v>
      </c>
      <c r="C10">
        <v>240</v>
      </c>
    </row>
    <row r="11" spans="2:3" x14ac:dyDescent="0.4">
      <c r="B11" s="75">
        <v>29815</v>
      </c>
      <c r="C11">
        <v>240</v>
      </c>
    </row>
    <row r="12" spans="2:3" x14ac:dyDescent="0.4">
      <c r="B12" s="75">
        <v>29815</v>
      </c>
      <c r="C12">
        <v>240</v>
      </c>
    </row>
    <row r="13" spans="2:3" x14ac:dyDescent="0.4">
      <c r="B13" s="75">
        <v>29815</v>
      </c>
      <c r="C13">
        <v>240</v>
      </c>
    </row>
    <row r="14" spans="2:3" x14ac:dyDescent="0.4">
      <c r="B14" s="75">
        <v>29815</v>
      </c>
      <c r="C14">
        <v>240</v>
      </c>
    </row>
    <row r="15" spans="2:3" x14ac:dyDescent="0.4">
      <c r="B15" s="75">
        <v>30550</v>
      </c>
      <c r="C15">
        <v>240</v>
      </c>
    </row>
    <row r="16" spans="2:3" x14ac:dyDescent="0.4">
      <c r="B16" s="75">
        <v>30725</v>
      </c>
      <c r="C16">
        <v>240</v>
      </c>
    </row>
    <row r="17" spans="2:3" x14ac:dyDescent="0.4">
      <c r="B17" s="75">
        <v>30725</v>
      </c>
      <c r="C17">
        <v>240</v>
      </c>
    </row>
    <row r="18" spans="2:3" x14ac:dyDescent="0.4">
      <c r="B18" s="75">
        <v>30725</v>
      </c>
      <c r="C18">
        <v>240</v>
      </c>
    </row>
    <row r="19" spans="2:3" x14ac:dyDescent="0.4">
      <c r="B19" s="75">
        <v>30725</v>
      </c>
      <c r="C19">
        <v>240</v>
      </c>
    </row>
    <row r="20" spans="2:3" x14ac:dyDescent="0.4">
      <c r="B20" s="75">
        <v>30725</v>
      </c>
      <c r="C20">
        <v>240</v>
      </c>
    </row>
    <row r="21" spans="2:3" x14ac:dyDescent="0.4">
      <c r="B21" s="75">
        <v>30725</v>
      </c>
      <c r="C21">
        <v>240</v>
      </c>
    </row>
    <row r="22" spans="2:3" x14ac:dyDescent="0.4">
      <c r="B22" s="75">
        <v>30725</v>
      </c>
      <c r="C22">
        <v>240</v>
      </c>
    </row>
    <row r="23" spans="2:3" x14ac:dyDescent="0.4">
      <c r="B23" s="75">
        <v>30725</v>
      </c>
      <c r="C23">
        <v>240</v>
      </c>
    </row>
    <row r="24" spans="2:3" x14ac:dyDescent="0.4">
      <c r="B24" s="75">
        <v>30732</v>
      </c>
      <c r="C24">
        <v>240</v>
      </c>
    </row>
    <row r="25" spans="2:3" x14ac:dyDescent="0.4">
      <c r="B25" s="75">
        <v>30732</v>
      </c>
      <c r="C25">
        <v>240</v>
      </c>
    </row>
    <row r="26" spans="2:3" x14ac:dyDescent="0.4">
      <c r="B26" s="75">
        <v>30823</v>
      </c>
      <c r="C26">
        <v>240</v>
      </c>
    </row>
    <row r="27" spans="2:3" x14ac:dyDescent="0.4">
      <c r="B27" s="75">
        <v>30830</v>
      </c>
      <c r="C27">
        <v>240</v>
      </c>
    </row>
    <row r="28" spans="2:3" x14ac:dyDescent="0.4">
      <c r="B28" s="75">
        <v>30837</v>
      </c>
      <c r="C28">
        <v>240</v>
      </c>
    </row>
    <row r="29" spans="2:3" x14ac:dyDescent="0.4">
      <c r="B29" s="75">
        <v>30837</v>
      </c>
      <c r="C29">
        <v>240</v>
      </c>
    </row>
    <row r="30" spans="2:3" x14ac:dyDescent="0.4">
      <c r="B30" s="75">
        <v>30858</v>
      </c>
      <c r="C30">
        <v>240</v>
      </c>
    </row>
    <row r="31" spans="2:3" x14ac:dyDescent="0.4">
      <c r="B31" s="75">
        <v>30858</v>
      </c>
      <c r="C31">
        <v>240</v>
      </c>
    </row>
    <row r="32" spans="2:3" x14ac:dyDescent="0.4">
      <c r="B32" s="75">
        <v>30865</v>
      </c>
      <c r="C32">
        <v>240</v>
      </c>
    </row>
    <row r="33" spans="2:3" x14ac:dyDescent="0.4">
      <c r="B33" s="75">
        <v>30865</v>
      </c>
      <c r="C33">
        <v>240</v>
      </c>
    </row>
    <row r="34" spans="2:3" x14ac:dyDescent="0.4">
      <c r="B34" s="75">
        <v>31264</v>
      </c>
      <c r="C34">
        <v>240</v>
      </c>
    </row>
    <row r="35" spans="2:3" x14ac:dyDescent="0.4">
      <c r="B35" s="75">
        <v>33000</v>
      </c>
      <c r="C35">
        <v>240</v>
      </c>
    </row>
    <row r="36" spans="2:3" x14ac:dyDescent="0.4">
      <c r="B36" s="75">
        <v>33000</v>
      </c>
      <c r="C36">
        <v>240</v>
      </c>
    </row>
    <row r="37" spans="2:3" x14ac:dyDescent="0.4">
      <c r="B37" s="75">
        <v>33000</v>
      </c>
      <c r="C37">
        <v>240</v>
      </c>
    </row>
    <row r="38" spans="2:3" x14ac:dyDescent="0.4">
      <c r="B38" s="75">
        <v>33000</v>
      </c>
      <c r="C38">
        <v>240</v>
      </c>
    </row>
    <row r="39" spans="2:3" x14ac:dyDescent="0.4">
      <c r="B39" s="75">
        <v>33126</v>
      </c>
      <c r="C39">
        <v>240</v>
      </c>
    </row>
    <row r="40" spans="2:3" x14ac:dyDescent="0.4">
      <c r="B40" s="75">
        <v>33126</v>
      </c>
      <c r="C40">
        <v>240</v>
      </c>
    </row>
    <row r="41" spans="2:3" x14ac:dyDescent="0.4">
      <c r="B41" s="75">
        <v>33330</v>
      </c>
      <c r="C41">
        <v>240</v>
      </c>
    </row>
    <row r="42" spans="2:3" x14ac:dyDescent="0.4">
      <c r="B42" s="75">
        <v>33330</v>
      </c>
      <c r="C42">
        <v>240</v>
      </c>
    </row>
    <row r="43" spans="2:3" x14ac:dyDescent="0.4">
      <c r="B43" s="75">
        <v>33330</v>
      </c>
      <c r="C43">
        <v>240</v>
      </c>
    </row>
    <row r="44" spans="2:3" x14ac:dyDescent="0.4">
      <c r="B44" s="75">
        <v>33336</v>
      </c>
      <c r="C44">
        <v>240</v>
      </c>
    </row>
    <row r="45" spans="2:3" x14ac:dyDescent="0.4">
      <c r="B45" s="75">
        <v>33364</v>
      </c>
      <c r="C45">
        <v>240</v>
      </c>
    </row>
    <row r="46" spans="2:3" x14ac:dyDescent="0.4">
      <c r="B46" s="75">
        <v>33364</v>
      </c>
      <c r="C46">
        <v>240</v>
      </c>
    </row>
    <row r="47" spans="2:3" x14ac:dyDescent="0.4">
      <c r="B47" s="75">
        <v>33371</v>
      </c>
      <c r="C47">
        <v>240</v>
      </c>
    </row>
    <row r="48" spans="2:3" x14ac:dyDescent="0.4">
      <c r="B48" s="75">
        <v>34176</v>
      </c>
      <c r="C48">
        <v>240</v>
      </c>
    </row>
    <row r="49" spans="2:3" x14ac:dyDescent="0.4">
      <c r="B49" s="75">
        <v>34176</v>
      </c>
      <c r="C49">
        <v>240</v>
      </c>
    </row>
    <row r="50" spans="2:3" x14ac:dyDescent="0.4">
      <c r="B50" s="75">
        <v>34190</v>
      </c>
      <c r="C50">
        <v>240</v>
      </c>
    </row>
    <row r="51" spans="2:3" x14ac:dyDescent="0.4">
      <c r="B51" s="75">
        <v>34295</v>
      </c>
      <c r="C51">
        <v>240</v>
      </c>
    </row>
    <row r="52" spans="2:3" x14ac:dyDescent="0.4">
      <c r="B52" s="75">
        <v>34477</v>
      </c>
      <c r="C52">
        <v>240</v>
      </c>
    </row>
    <row r="53" spans="2:3" x14ac:dyDescent="0.4">
      <c r="B53" s="75">
        <v>34540</v>
      </c>
      <c r="C53">
        <v>240</v>
      </c>
    </row>
    <row r="54" spans="2:3" x14ac:dyDescent="0.4">
      <c r="B54" s="75">
        <v>34540</v>
      </c>
      <c r="C54">
        <v>240</v>
      </c>
    </row>
    <row r="55" spans="2:3" x14ac:dyDescent="0.4">
      <c r="B55" s="75">
        <v>34540</v>
      </c>
      <c r="C55">
        <v>240</v>
      </c>
    </row>
    <row r="56" spans="2:3" x14ac:dyDescent="0.4">
      <c r="B56" s="75">
        <v>34540</v>
      </c>
      <c r="C56">
        <v>240</v>
      </c>
    </row>
    <row r="57" spans="2:3" x14ac:dyDescent="0.4">
      <c r="B57" s="75">
        <v>34540</v>
      </c>
      <c r="C57">
        <v>240</v>
      </c>
    </row>
    <row r="58" spans="2:3" x14ac:dyDescent="0.4">
      <c r="B58" s="75">
        <v>34659</v>
      </c>
      <c r="C58">
        <v>240</v>
      </c>
    </row>
    <row r="59" spans="2:3" x14ac:dyDescent="0.4">
      <c r="B59" s="75">
        <v>34659</v>
      </c>
      <c r="C59">
        <v>240</v>
      </c>
    </row>
    <row r="60" spans="2:3" x14ac:dyDescent="0.4">
      <c r="B60" s="75">
        <v>35555</v>
      </c>
      <c r="C60">
        <v>240</v>
      </c>
    </row>
    <row r="61" spans="2:3" x14ac:dyDescent="0.4">
      <c r="B61" s="75">
        <v>35702</v>
      </c>
      <c r="C61">
        <v>240</v>
      </c>
    </row>
    <row r="62" spans="2:3" x14ac:dyDescent="0.4">
      <c r="B62" s="75">
        <v>35709</v>
      </c>
      <c r="C62">
        <v>240</v>
      </c>
    </row>
    <row r="63" spans="2:3" x14ac:dyDescent="0.4">
      <c r="B63" s="75">
        <v>35772</v>
      </c>
      <c r="C63">
        <v>240</v>
      </c>
    </row>
    <row r="64" spans="2:3" x14ac:dyDescent="0.4">
      <c r="B64" s="75">
        <v>35772</v>
      </c>
      <c r="C64">
        <v>240</v>
      </c>
    </row>
    <row r="65" spans="2:3" x14ac:dyDescent="0.4">
      <c r="B65" s="75">
        <v>36010</v>
      </c>
      <c r="C65">
        <v>240</v>
      </c>
    </row>
    <row r="66" spans="2:3" x14ac:dyDescent="0.4">
      <c r="B66" s="75">
        <v>36045</v>
      </c>
      <c r="C66">
        <v>240</v>
      </c>
    </row>
    <row r="67" spans="2:3" x14ac:dyDescent="0.4">
      <c r="B67" s="75">
        <v>36325</v>
      </c>
      <c r="C67">
        <v>240</v>
      </c>
    </row>
    <row r="68" spans="2:3" x14ac:dyDescent="0.4">
      <c r="B68" s="75">
        <v>36339</v>
      </c>
      <c r="C68">
        <v>240</v>
      </c>
    </row>
    <row r="69" spans="2:3" x14ac:dyDescent="0.4">
      <c r="B69" s="75">
        <v>36339</v>
      </c>
      <c r="C69">
        <v>240</v>
      </c>
    </row>
    <row r="70" spans="2:3" x14ac:dyDescent="0.4">
      <c r="B70" s="75">
        <v>36339</v>
      </c>
      <c r="C70">
        <v>240</v>
      </c>
    </row>
    <row r="71" spans="2:3" x14ac:dyDescent="0.4">
      <c r="B71" s="75">
        <v>36339</v>
      </c>
      <c r="C71">
        <v>240</v>
      </c>
    </row>
    <row r="72" spans="2:3" x14ac:dyDescent="0.4">
      <c r="B72" s="75">
        <v>36339</v>
      </c>
      <c r="C72">
        <v>240</v>
      </c>
    </row>
    <row r="73" spans="2:3" x14ac:dyDescent="0.4">
      <c r="B73" s="75">
        <v>36472</v>
      </c>
      <c r="C73">
        <v>240</v>
      </c>
    </row>
    <row r="74" spans="2:3" x14ac:dyDescent="0.4">
      <c r="B74" s="75">
        <v>36472</v>
      </c>
      <c r="C74">
        <v>240</v>
      </c>
    </row>
    <row r="75" spans="2:3" x14ac:dyDescent="0.4">
      <c r="B75" s="75">
        <v>36472</v>
      </c>
      <c r="C75">
        <v>240</v>
      </c>
    </row>
    <row r="76" spans="2:3" x14ac:dyDescent="0.4">
      <c r="B76" s="75">
        <v>36472</v>
      </c>
      <c r="C76">
        <v>240</v>
      </c>
    </row>
    <row r="77" spans="2:3" x14ac:dyDescent="0.4">
      <c r="B77" s="75">
        <v>36472</v>
      </c>
      <c r="C77">
        <v>240</v>
      </c>
    </row>
    <row r="78" spans="2:3" x14ac:dyDescent="0.4">
      <c r="B78" s="75">
        <v>36472</v>
      </c>
      <c r="C78">
        <v>240</v>
      </c>
    </row>
    <row r="79" spans="2:3" x14ac:dyDescent="0.4">
      <c r="B79" s="75">
        <v>36479</v>
      </c>
      <c r="C79">
        <v>240</v>
      </c>
    </row>
    <row r="80" spans="2:3" x14ac:dyDescent="0.4">
      <c r="B80" s="75">
        <v>36479</v>
      </c>
      <c r="C80">
        <v>240</v>
      </c>
    </row>
    <row r="81" spans="2:3" x14ac:dyDescent="0.4">
      <c r="B81" s="75">
        <v>36479</v>
      </c>
      <c r="C81">
        <v>240</v>
      </c>
    </row>
    <row r="82" spans="2:3" x14ac:dyDescent="0.4">
      <c r="B82" s="75">
        <v>36704</v>
      </c>
      <c r="C82">
        <v>200</v>
      </c>
    </row>
    <row r="83" spans="2:3" x14ac:dyDescent="0.4">
      <c r="B83" s="75">
        <v>36717</v>
      </c>
      <c r="C83">
        <v>200</v>
      </c>
    </row>
    <row r="84" spans="2:3" x14ac:dyDescent="0.4">
      <c r="B84" s="75">
        <v>36836</v>
      </c>
      <c r="C84">
        <v>200</v>
      </c>
    </row>
    <row r="85" spans="2:3" x14ac:dyDescent="0.4">
      <c r="B85" s="75">
        <v>36836</v>
      </c>
      <c r="C85">
        <v>200</v>
      </c>
    </row>
    <row r="86" spans="2:3" x14ac:dyDescent="0.4">
      <c r="B86" s="75">
        <v>36836</v>
      </c>
      <c r="C86">
        <v>200</v>
      </c>
    </row>
    <row r="87" spans="2:3" x14ac:dyDescent="0.4">
      <c r="B87" s="75">
        <v>36836</v>
      </c>
      <c r="C87">
        <v>200</v>
      </c>
    </row>
    <row r="88" spans="2:3" x14ac:dyDescent="0.4">
      <c r="B88" s="75">
        <v>36836</v>
      </c>
      <c r="C88">
        <v>200</v>
      </c>
    </row>
    <row r="89" spans="2:3" x14ac:dyDescent="0.4">
      <c r="B89" s="75">
        <v>36836</v>
      </c>
      <c r="C89">
        <v>200</v>
      </c>
    </row>
    <row r="90" spans="2:3" x14ac:dyDescent="0.4">
      <c r="B90" s="75">
        <v>36836</v>
      </c>
      <c r="C90">
        <v>200</v>
      </c>
    </row>
    <row r="91" spans="2:3" x14ac:dyDescent="0.4">
      <c r="B91" s="75">
        <v>36836</v>
      </c>
      <c r="C91">
        <v>200</v>
      </c>
    </row>
    <row r="92" spans="2:3" x14ac:dyDescent="0.4">
      <c r="B92" s="75">
        <v>36836</v>
      </c>
      <c r="C92">
        <v>200</v>
      </c>
    </row>
    <row r="93" spans="2:3" x14ac:dyDescent="0.4">
      <c r="B93" s="75">
        <v>36921</v>
      </c>
      <c r="C93">
        <v>200</v>
      </c>
    </row>
    <row r="94" spans="2:3" x14ac:dyDescent="0.4">
      <c r="B94" s="75">
        <v>36955</v>
      </c>
      <c r="C94">
        <v>200</v>
      </c>
    </row>
    <row r="95" spans="2:3" x14ac:dyDescent="0.4">
      <c r="B95" s="75">
        <v>37104</v>
      </c>
      <c r="C95">
        <v>200</v>
      </c>
    </row>
    <row r="96" spans="2:3" x14ac:dyDescent="0.4">
      <c r="B96" s="75">
        <v>37200</v>
      </c>
      <c r="C96">
        <v>200</v>
      </c>
    </row>
    <row r="97" spans="2:3" x14ac:dyDescent="0.4">
      <c r="B97" s="75">
        <v>37207</v>
      </c>
      <c r="C97">
        <v>200</v>
      </c>
    </row>
    <row r="98" spans="2:3" x14ac:dyDescent="0.4">
      <c r="B98" s="75">
        <v>37207</v>
      </c>
      <c r="C98">
        <v>200</v>
      </c>
    </row>
    <row r="99" spans="2:3" x14ac:dyDescent="0.4">
      <c r="B99" s="75">
        <v>37207</v>
      </c>
      <c r="C99">
        <v>200</v>
      </c>
    </row>
    <row r="100" spans="2:3" x14ac:dyDescent="0.4">
      <c r="B100" s="75">
        <v>37242</v>
      </c>
      <c r="C100">
        <v>200</v>
      </c>
    </row>
    <row r="101" spans="2:3" x14ac:dyDescent="0.4">
      <c r="B101" s="75">
        <v>37417</v>
      </c>
      <c r="C101">
        <v>200</v>
      </c>
    </row>
    <row r="102" spans="2:3" x14ac:dyDescent="0.4">
      <c r="B102" s="75">
        <v>37417</v>
      </c>
      <c r="C102">
        <v>200</v>
      </c>
    </row>
    <row r="103" spans="2:3" x14ac:dyDescent="0.4">
      <c r="B103" s="75">
        <v>38098</v>
      </c>
      <c r="C103">
        <v>200</v>
      </c>
    </row>
    <row r="104" spans="2:3" x14ac:dyDescent="0.4">
      <c r="B104" s="75">
        <v>38098</v>
      </c>
      <c r="C104">
        <v>200</v>
      </c>
    </row>
    <row r="105" spans="2:3" x14ac:dyDescent="0.4">
      <c r="B105" s="75">
        <v>38139</v>
      </c>
      <c r="C105">
        <v>200</v>
      </c>
    </row>
    <row r="106" spans="2:3" x14ac:dyDescent="0.4">
      <c r="B106" s="75">
        <v>38139</v>
      </c>
      <c r="C106">
        <v>200</v>
      </c>
    </row>
    <row r="107" spans="2:3" x14ac:dyDescent="0.4">
      <c r="B107" s="75">
        <v>38139</v>
      </c>
      <c r="C107">
        <v>200</v>
      </c>
    </row>
    <row r="108" spans="2:3" x14ac:dyDescent="0.4">
      <c r="B108" s="75">
        <v>38187</v>
      </c>
      <c r="C108">
        <v>200</v>
      </c>
    </row>
    <row r="109" spans="2:3" x14ac:dyDescent="0.4">
      <c r="B109" s="75">
        <v>38187</v>
      </c>
      <c r="C109">
        <v>200</v>
      </c>
    </row>
    <row r="110" spans="2:3" x14ac:dyDescent="0.4">
      <c r="B110" s="75">
        <v>38187</v>
      </c>
      <c r="C110">
        <v>200</v>
      </c>
    </row>
    <row r="111" spans="2:3" x14ac:dyDescent="0.4">
      <c r="B111" s="75">
        <v>38187</v>
      </c>
      <c r="C111">
        <v>200</v>
      </c>
    </row>
    <row r="112" spans="2:3" x14ac:dyDescent="0.4">
      <c r="B112" s="75">
        <v>38635</v>
      </c>
      <c r="C112">
        <v>160</v>
      </c>
    </row>
    <row r="113" spans="2:3" x14ac:dyDescent="0.4">
      <c r="B113" s="75">
        <v>38635</v>
      </c>
      <c r="C113">
        <v>160</v>
      </c>
    </row>
    <row r="114" spans="2:3" x14ac:dyDescent="0.4">
      <c r="B114" s="75">
        <v>38635</v>
      </c>
      <c r="C114">
        <v>160</v>
      </c>
    </row>
    <row r="115" spans="2:3" x14ac:dyDescent="0.4">
      <c r="B115" s="75">
        <v>38656</v>
      </c>
      <c r="C115">
        <v>160</v>
      </c>
    </row>
    <row r="116" spans="2:3" x14ac:dyDescent="0.4">
      <c r="B116" s="75">
        <v>38656</v>
      </c>
      <c r="C116">
        <v>160</v>
      </c>
    </row>
    <row r="117" spans="2:3" x14ac:dyDescent="0.4">
      <c r="B117" s="75">
        <v>38985</v>
      </c>
      <c r="C117">
        <v>160</v>
      </c>
    </row>
    <row r="118" spans="2:3" x14ac:dyDescent="0.4">
      <c r="B118" s="75">
        <v>38985</v>
      </c>
      <c r="C118">
        <v>160</v>
      </c>
    </row>
    <row r="119" spans="2:3" x14ac:dyDescent="0.4">
      <c r="B119" s="75">
        <v>39188</v>
      </c>
      <c r="C119">
        <v>160</v>
      </c>
    </row>
    <row r="120" spans="2:3" x14ac:dyDescent="0.4">
      <c r="B120" s="75">
        <v>39188</v>
      </c>
      <c r="C120">
        <v>160</v>
      </c>
    </row>
    <row r="121" spans="2:3" x14ac:dyDescent="0.4">
      <c r="B121" s="75">
        <v>39209</v>
      </c>
      <c r="C121">
        <v>160</v>
      </c>
    </row>
    <row r="122" spans="2:3" x14ac:dyDescent="0.4">
      <c r="B122" s="75">
        <v>39209</v>
      </c>
      <c r="C122">
        <v>160</v>
      </c>
    </row>
    <row r="123" spans="2:3" x14ac:dyDescent="0.4">
      <c r="B123" s="75">
        <v>39209</v>
      </c>
      <c r="C123">
        <v>160</v>
      </c>
    </row>
    <row r="124" spans="2:3" x14ac:dyDescent="0.4">
      <c r="B124" s="75">
        <v>39209</v>
      </c>
      <c r="C124">
        <v>160</v>
      </c>
    </row>
    <row r="125" spans="2:3" x14ac:dyDescent="0.4">
      <c r="B125" s="75">
        <v>39349</v>
      </c>
      <c r="C125">
        <v>160</v>
      </c>
    </row>
    <row r="126" spans="2:3" x14ac:dyDescent="0.4">
      <c r="B126" s="75">
        <v>39349</v>
      </c>
      <c r="C126">
        <v>160</v>
      </c>
    </row>
    <row r="127" spans="2:3" x14ac:dyDescent="0.4">
      <c r="B127" s="75">
        <v>39566</v>
      </c>
      <c r="C127">
        <v>160</v>
      </c>
    </row>
    <row r="128" spans="2:3" x14ac:dyDescent="0.4">
      <c r="B128" s="75">
        <v>39566</v>
      </c>
      <c r="C128">
        <v>160</v>
      </c>
    </row>
    <row r="129" spans="2:3" x14ac:dyDescent="0.4">
      <c r="B129" s="75">
        <v>39566</v>
      </c>
      <c r="C129">
        <v>160</v>
      </c>
    </row>
    <row r="130" spans="2:3" x14ac:dyDescent="0.4">
      <c r="B130" s="75">
        <v>39566</v>
      </c>
      <c r="C130">
        <v>160</v>
      </c>
    </row>
    <row r="131" spans="2:3" x14ac:dyDescent="0.4">
      <c r="B131" s="75">
        <v>39566</v>
      </c>
      <c r="C131">
        <v>160</v>
      </c>
    </row>
    <row r="132" spans="2:3" x14ac:dyDescent="0.4">
      <c r="B132" s="75">
        <v>39566</v>
      </c>
      <c r="C132">
        <v>160</v>
      </c>
    </row>
    <row r="133" spans="2:3" x14ac:dyDescent="0.4">
      <c r="B133" s="75">
        <v>39566</v>
      </c>
      <c r="C133">
        <v>160</v>
      </c>
    </row>
    <row r="134" spans="2:3" x14ac:dyDescent="0.4">
      <c r="B134" s="75">
        <v>39566</v>
      </c>
      <c r="C134">
        <v>160</v>
      </c>
    </row>
    <row r="135" spans="2:3" x14ac:dyDescent="0.4">
      <c r="B135" s="75">
        <v>39622</v>
      </c>
      <c r="C135">
        <v>160</v>
      </c>
    </row>
    <row r="136" spans="2:3" x14ac:dyDescent="0.4">
      <c r="B136" s="75">
        <v>39622</v>
      </c>
      <c r="C136">
        <v>160</v>
      </c>
    </row>
    <row r="137" spans="2:3" x14ac:dyDescent="0.4">
      <c r="B137" s="75">
        <v>39622</v>
      </c>
      <c r="C137">
        <v>160</v>
      </c>
    </row>
    <row r="138" spans="2:3" x14ac:dyDescent="0.4">
      <c r="B138" s="75">
        <v>39622</v>
      </c>
      <c r="C138">
        <v>160</v>
      </c>
    </row>
    <row r="139" spans="2:3" x14ac:dyDescent="0.4">
      <c r="B139" s="75">
        <v>39622</v>
      </c>
      <c r="C139">
        <v>160</v>
      </c>
    </row>
    <row r="140" spans="2:3" x14ac:dyDescent="0.4">
      <c r="B140" s="75">
        <v>39622</v>
      </c>
      <c r="C140">
        <v>160</v>
      </c>
    </row>
    <row r="141" spans="2:3" x14ac:dyDescent="0.4">
      <c r="B141" s="75">
        <v>39706</v>
      </c>
      <c r="C141">
        <v>160</v>
      </c>
    </row>
    <row r="142" spans="2:3" x14ac:dyDescent="0.4">
      <c r="B142" s="75">
        <v>39706</v>
      </c>
      <c r="C142">
        <v>160</v>
      </c>
    </row>
    <row r="143" spans="2:3" x14ac:dyDescent="0.4">
      <c r="B143" s="75">
        <v>39706</v>
      </c>
      <c r="C143">
        <v>160</v>
      </c>
    </row>
    <row r="144" spans="2:3" x14ac:dyDescent="0.4">
      <c r="B144" s="75">
        <v>39706</v>
      </c>
      <c r="C144">
        <v>160</v>
      </c>
    </row>
    <row r="145" spans="2:3" x14ac:dyDescent="0.4">
      <c r="B145" s="75">
        <v>39706</v>
      </c>
      <c r="C145">
        <v>160</v>
      </c>
    </row>
    <row r="146" spans="2:3" x14ac:dyDescent="0.4">
      <c r="B146" s="75">
        <v>39706</v>
      </c>
      <c r="C146">
        <v>160</v>
      </c>
    </row>
    <row r="147" spans="2:3" x14ac:dyDescent="0.4">
      <c r="B147" s="75">
        <v>39706</v>
      </c>
      <c r="C147">
        <v>160</v>
      </c>
    </row>
    <row r="148" spans="2:3" x14ac:dyDescent="0.4">
      <c r="B148" s="75">
        <v>39706</v>
      </c>
      <c r="C148">
        <v>160</v>
      </c>
    </row>
    <row r="149" spans="2:3" x14ac:dyDescent="0.4">
      <c r="B149" s="75">
        <v>39818</v>
      </c>
      <c r="C149">
        <v>160</v>
      </c>
    </row>
    <row r="150" spans="2:3" x14ac:dyDescent="0.4">
      <c r="B150" s="75">
        <v>39853</v>
      </c>
      <c r="C150">
        <v>160</v>
      </c>
    </row>
    <row r="151" spans="2:3" x14ac:dyDescent="0.4">
      <c r="B151" s="75">
        <v>39853</v>
      </c>
      <c r="C151">
        <v>160</v>
      </c>
    </row>
    <row r="152" spans="2:3" x14ac:dyDescent="0.4">
      <c r="B152" s="75">
        <v>39853</v>
      </c>
      <c r="C152">
        <v>160</v>
      </c>
    </row>
    <row r="153" spans="2:3" x14ac:dyDescent="0.4">
      <c r="B153" s="75">
        <v>39853</v>
      </c>
      <c r="C153">
        <v>160</v>
      </c>
    </row>
    <row r="154" spans="2:3" x14ac:dyDescent="0.4">
      <c r="B154" s="75">
        <v>39902</v>
      </c>
      <c r="C154">
        <v>160</v>
      </c>
    </row>
    <row r="155" spans="2:3" x14ac:dyDescent="0.4">
      <c r="B155" s="75">
        <v>39902</v>
      </c>
      <c r="C155">
        <v>160</v>
      </c>
    </row>
    <row r="156" spans="2:3" x14ac:dyDescent="0.4">
      <c r="B156" s="75">
        <v>39902</v>
      </c>
      <c r="C156">
        <v>160</v>
      </c>
    </row>
    <row r="157" spans="2:3" x14ac:dyDescent="0.4">
      <c r="B157" s="75">
        <v>39902</v>
      </c>
      <c r="C157">
        <v>160</v>
      </c>
    </row>
    <row r="158" spans="2:3" x14ac:dyDescent="0.4">
      <c r="B158" s="75">
        <v>39902</v>
      </c>
      <c r="C158">
        <v>160</v>
      </c>
    </row>
    <row r="159" spans="2:3" x14ac:dyDescent="0.4">
      <c r="B159" s="75">
        <v>39902</v>
      </c>
      <c r="C159">
        <v>160</v>
      </c>
    </row>
    <row r="160" spans="2:3" x14ac:dyDescent="0.4">
      <c r="B160" s="75">
        <v>39902</v>
      </c>
      <c r="C160">
        <v>160</v>
      </c>
    </row>
    <row r="161" spans="2:3" x14ac:dyDescent="0.4">
      <c r="B161" s="75">
        <v>39902</v>
      </c>
      <c r="C161">
        <v>160</v>
      </c>
    </row>
    <row r="162" spans="2:3" x14ac:dyDescent="0.4">
      <c r="B162" s="75">
        <v>39965</v>
      </c>
      <c r="C162">
        <v>160</v>
      </c>
    </row>
    <row r="163" spans="2:3" x14ac:dyDescent="0.4">
      <c r="B163" s="75">
        <v>39965</v>
      </c>
      <c r="C163">
        <v>160</v>
      </c>
    </row>
    <row r="164" spans="2:3" x14ac:dyDescent="0.4">
      <c r="B164" s="75">
        <v>39965</v>
      </c>
      <c r="C164">
        <v>160</v>
      </c>
    </row>
    <row r="165" spans="2:3" x14ac:dyDescent="0.4">
      <c r="B165" s="75">
        <v>39965</v>
      </c>
      <c r="C165">
        <v>160</v>
      </c>
    </row>
    <row r="166" spans="2:3" x14ac:dyDescent="0.4">
      <c r="B166" s="75">
        <v>40322</v>
      </c>
      <c r="C166">
        <v>160</v>
      </c>
    </row>
    <row r="167" spans="2:3" x14ac:dyDescent="0.4">
      <c r="B167" s="75">
        <v>40322</v>
      </c>
      <c r="C167">
        <v>160</v>
      </c>
    </row>
    <row r="168" spans="2:3" x14ac:dyDescent="0.4">
      <c r="B168" s="75">
        <v>40322</v>
      </c>
      <c r="C168">
        <v>160</v>
      </c>
    </row>
    <row r="169" spans="2:3" x14ac:dyDescent="0.4">
      <c r="B169" s="75">
        <v>40322</v>
      </c>
      <c r="C169">
        <v>160</v>
      </c>
    </row>
    <row r="170" spans="2:3" x14ac:dyDescent="0.4">
      <c r="B170" s="75">
        <v>40322</v>
      </c>
      <c r="C170">
        <v>160</v>
      </c>
    </row>
    <row r="171" spans="2:3" x14ac:dyDescent="0.4">
      <c r="B171" s="75">
        <v>40322</v>
      </c>
      <c r="C171">
        <v>160</v>
      </c>
    </row>
    <row r="172" spans="2:3" x14ac:dyDescent="0.4">
      <c r="B172" s="75">
        <v>40416</v>
      </c>
      <c r="C172">
        <v>160</v>
      </c>
    </row>
    <row r="173" spans="2:3" x14ac:dyDescent="0.4">
      <c r="B173" s="75">
        <v>40416</v>
      </c>
      <c r="C173">
        <v>160</v>
      </c>
    </row>
    <row r="174" spans="2:3" x14ac:dyDescent="0.4">
      <c r="B174" s="75">
        <v>40416</v>
      </c>
      <c r="C174">
        <v>160</v>
      </c>
    </row>
    <row r="175" spans="2:3" x14ac:dyDescent="0.4">
      <c r="B175" s="75">
        <v>40416</v>
      </c>
      <c r="C175">
        <v>160</v>
      </c>
    </row>
    <row r="176" spans="2:3" x14ac:dyDescent="0.4">
      <c r="B176" s="75">
        <v>40416</v>
      </c>
      <c r="C176">
        <v>160</v>
      </c>
    </row>
    <row r="177" spans="2:3" x14ac:dyDescent="0.4">
      <c r="B177" s="75">
        <v>40416</v>
      </c>
      <c r="C177">
        <v>160</v>
      </c>
    </row>
    <row r="178" spans="2:3" x14ac:dyDescent="0.4">
      <c r="B178" s="75">
        <v>40416</v>
      </c>
      <c r="C178">
        <v>160</v>
      </c>
    </row>
    <row r="179" spans="2:3" x14ac:dyDescent="0.4">
      <c r="B179" s="75">
        <v>40416</v>
      </c>
      <c r="C179">
        <v>160</v>
      </c>
    </row>
    <row r="180" spans="2:3" x14ac:dyDescent="0.4">
      <c r="B180" s="75">
        <v>40416</v>
      </c>
      <c r="C180">
        <v>160</v>
      </c>
    </row>
    <row r="181" spans="2:3" x14ac:dyDescent="0.4">
      <c r="B181" s="75">
        <v>40416</v>
      </c>
      <c r="C181">
        <v>160</v>
      </c>
    </row>
    <row r="182" spans="2:3" x14ac:dyDescent="0.4">
      <c r="B182" s="75">
        <v>40420</v>
      </c>
      <c r="C182">
        <v>160</v>
      </c>
    </row>
    <row r="183" spans="2:3" x14ac:dyDescent="0.4">
      <c r="B183" s="75">
        <v>40420</v>
      </c>
      <c r="C183">
        <v>160</v>
      </c>
    </row>
    <row r="184" spans="2:3" x14ac:dyDescent="0.4">
      <c r="B184" s="75">
        <v>40518</v>
      </c>
      <c r="C184">
        <v>160</v>
      </c>
    </row>
    <row r="185" spans="2:3" x14ac:dyDescent="0.4">
      <c r="B185" s="75">
        <v>40681</v>
      </c>
      <c r="C185">
        <v>160</v>
      </c>
    </row>
    <row r="186" spans="2:3" x14ac:dyDescent="0.4">
      <c r="B186" s="75">
        <v>40681</v>
      </c>
      <c r="C186">
        <v>160</v>
      </c>
    </row>
    <row r="187" spans="2:3" x14ac:dyDescent="0.4">
      <c r="B187" s="75">
        <v>40681</v>
      </c>
      <c r="C187">
        <v>160</v>
      </c>
    </row>
    <row r="188" spans="2:3" x14ac:dyDescent="0.4">
      <c r="B188" s="75">
        <v>40681</v>
      </c>
      <c r="C188">
        <v>160</v>
      </c>
    </row>
    <row r="189" spans="2:3" x14ac:dyDescent="0.4">
      <c r="B189" s="75">
        <v>40681</v>
      </c>
      <c r="C189">
        <v>160</v>
      </c>
    </row>
    <row r="190" spans="2:3" x14ac:dyDescent="0.4">
      <c r="B190" s="75">
        <v>40681</v>
      </c>
      <c r="C190">
        <v>160</v>
      </c>
    </row>
    <row r="191" spans="2:3" x14ac:dyDescent="0.4">
      <c r="B191" s="75">
        <v>40681</v>
      </c>
      <c r="C191">
        <v>160</v>
      </c>
    </row>
    <row r="192" spans="2:3" x14ac:dyDescent="0.4">
      <c r="B192" s="75">
        <v>40681</v>
      </c>
      <c r="C192">
        <v>160</v>
      </c>
    </row>
    <row r="193" spans="2:3" x14ac:dyDescent="0.4">
      <c r="B193" s="75">
        <v>40681</v>
      </c>
      <c r="C193">
        <v>160</v>
      </c>
    </row>
    <row r="194" spans="2:3" x14ac:dyDescent="0.4">
      <c r="B194" s="75">
        <v>40730</v>
      </c>
      <c r="C194">
        <v>160</v>
      </c>
    </row>
    <row r="195" spans="2:3" x14ac:dyDescent="0.4">
      <c r="B195" s="75">
        <v>40730</v>
      </c>
      <c r="C195">
        <v>160</v>
      </c>
    </row>
    <row r="196" spans="2:3" x14ac:dyDescent="0.4">
      <c r="B196" s="75">
        <v>40730</v>
      </c>
      <c r="C196">
        <v>160</v>
      </c>
    </row>
    <row r="197" spans="2:3" x14ac:dyDescent="0.4">
      <c r="B197" s="75">
        <v>40730</v>
      </c>
      <c r="C197">
        <v>160</v>
      </c>
    </row>
    <row r="198" spans="2:3" x14ac:dyDescent="0.4">
      <c r="B198" s="75">
        <v>40730</v>
      </c>
      <c r="C198">
        <v>160</v>
      </c>
    </row>
    <row r="199" spans="2:3" x14ac:dyDescent="0.4">
      <c r="B199" s="75">
        <v>40730</v>
      </c>
      <c r="C199">
        <v>160</v>
      </c>
    </row>
    <row r="200" spans="2:3" x14ac:dyDescent="0.4">
      <c r="B200" s="75">
        <v>40730</v>
      </c>
      <c r="C200">
        <v>160</v>
      </c>
    </row>
    <row r="201" spans="2:3" x14ac:dyDescent="0.4">
      <c r="B201" s="75">
        <v>40730</v>
      </c>
      <c r="C201">
        <v>160</v>
      </c>
    </row>
    <row r="202" spans="2:3" x14ac:dyDescent="0.4">
      <c r="B202" s="75">
        <v>40730</v>
      </c>
      <c r="C202">
        <v>160</v>
      </c>
    </row>
    <row r="203" spans="2:3" x14ac:dyDescent="0.4">
      <c r="B203" s="75">
        <v>40730</v>
      </c>
      <c r="C203">
        <v>160</v>
      </c>
    </row>
    <row r="204" spans="2:3" x14ac:dyDescent="0.4">
      <c r="B204" s="75">
        <v>40730</v>
      </c>
      <c r="C204">
        <v>160</v>
      </c>
    </row>
    <row r="205" spans="2:3" x14ac:dyDescent="0.4">
      <c r="B205" s="75">
        <v>40833</v>
      </c>
      <c r="C205">
        <v>160</v>
      </c>
    </row>
    <row r="206" spans="2:3" x14ac:dyDescent="0.4">
      <c r="B206" s="75">
        <v>40917</v>
      </c>
      <c r="C206">
        <v>160</v>
      </c>
    </row>
    <row r="207" spans="2:3" x14ac:dyDescent="0.4">
      <c r="B207" s="75">
        <v>41113</v>
      </c>
      <c r="C207">
        <v>160</v>
      </c>
    </row>
    <row r="208" spans="2:3" x14ac:dyDescent="0.4">
      <c r="B208" s="75">
        <v>41148</v>
      </c>
      <c r="C208">
        <v>160</v>
      </c>
    </row>
    <row r="209" spans="2:3" x14ac:dyDescent="0.4">
      <c r="B209" s="75">
        <v>41281</v>
      </c>
      <c r="C209">
        <v>120</v>
      </c>
    </row>
    <row r="210" spans="2:3" x14ac:dyDescent="0.4">
      <c r="B210" s="75">
        <v>41813</v>
      </c>
      <c r="C210">
        <v>120</v>
      </c>
    </row>
    <row r="211" spans="2:3" x14ac:dyDescent="0.4">
      <c r="B211" s="75">
        <v>41848</v>
      </c>
      <c r="C211">
        <v>120</v>
      </c>
    </row>
    <row r="212" spans="2:3" x14ac:dyDescent="0.4">
      <c r="B212" s="75">
        <v>41848</v>
      </c>
      <c r="C212">
        <v>120</v>
      </c>
    </row>
    <row r="213" spans="2:3" x14ac:dyDescent="0.4">
      <c r="B213" s="75">
        <v>41974</v>
      </c>
      <c r="C213">
        <v>120</v>
      </c>
    </row>
    <row r="214" spans="2:3" x14ac:dyDescent="0.4">
      <c r="B214" s="75">
        <v>41974</v>
      </c>
      <c r="C214">
        <v>120</v>
      </c>
    </row>
    <row r="215" spans="2:3" x14ac:dyDescent="0.4">
      <c r="B215" s="75">
        <v>41974</v>
      </c>
      <c r="C215">
        <v>120</v>
      </c>
    </row>
    <row r="216" spans="2:3" x14ac:dyDescent="0.4">
      <c r="B216" s="75">
        <v>41974</v>
      </c>
      <c r="C216">
        <v>120</v>
      </c>
    </row>
    <row r="217" spans="2:3" x14ac:dyDescent="0.4">
      <c r="B217" s="75">
        <v>41974</v>
      </c>
      <c r="C217">
        <v>120</v>
      </c>
    </row>
    <row r="218" spans="2:3" x14ac:dyDescent="0.4">
      <c r="B218" s="75">
        <v>41974</v>
      </c>
      <c r="C218">
        <v>120</v>
      </c>
    </row>
    <row r="219" spans="2:3" x14ac:dyDescent="0.4">
      <c r="B219" s="75">
        <v>42044</v>
      </c>
      <c r="C219">
        <v>120</v>
      </c>
    </row>
    <row r="220" spans="2:3" x14ac:dyDescent="0.4">
      <c r="B220" s="75">
        <v>42044</v>
      </c>
      <c r="C220">
        <v>120</v>
      </c>
    </row>
    <row r="221" spans="2:3" x14ac:dyDescent="0.4">
      <c r="B221" s="75">
        <v>42044</v>
      </c>
      <c r="C221">
        <v>120</v>
      </c>
    </row>
    <row r="222" spans="2:3" x14ac:dyDescent="0.4">
      <c r="B222" s="75">
        <v>42044</v>
      </c>
      <c r="C222">
        <v>120</v>
      </c>
    </row>
    <row r="223" spans="2:3" x14ac:dyDescent="0.4">
      <c r="B223" s="75">
        <v>42044</v>
      </c>
      <c r="C223">
        <v>120</v>
      </c>
    </row>
    <row r="224" spans="2:3" x14ac:dyDescent="0.4">
      <c r="B224" s="75">
        <v>42044</v>
      </c>
      <c r="C224">
        <v>120</v>
      </c>
    </row>
    <row r="225" spans="2:3" x14ac:dyDescent="0.4">
      <c r="B225" s="75">
        <v>42058</v>
      </c>
      <c r="C225">
        <v>120</v>
      </c>
    </row>
    <row r="226" spans="2:3" x14ac:dyDescent="0.4">
      <c r="B226" s="75">
        <v>42058</v>
      </c>
      <c r="C226">
        <v>120</v>
      </c>
    </row>
    <row r="227" spans="2:3" x14ac:dyDescent="0.4">
      <c r="B227" s="75">
        <v>42086</v>
      </c>
      <c r="C227">
        <v>120</v>
      </c>
    </row>
    <row r="228" spans="2:3" x14ac:dyDescent="0.4">
      <c r="B228" s="75">
        <v>42086</v>
      </c>
      <c r="C228">
        <v>120</v>
      </c>
    </row>
    <row r="229" spans="2:3" x14ac:dyDescent="0.4">
      <c r="B229" s="75">
        <v>42086</v>
      </c>
      <c r="C229">
        <v>120</v>
      </c>
    </row>
    <row r="230" spans="2:3" x14ac:dyDescent="0.4">
      <c r="B230" s="75">
        <v>42086</v>
      </c>
      <c r="C230">
        <v>120</v>
      </c>
    </row>
    <row r="231" spans="2:3" x14ac:dyDescent="0.4">
      <c r="B231" s="75">
        <v>42100</v>
      </c>
      <c r="C231">
        <v>120</v>
      </c>
    </row>
    <row r="232" spans="2:3" x14ac:dyDescent="0.4">
      <c r="B232" s="75">
        <v>42100</v>
      </c>
      <c r="C232">
        <v>120</v>
      </c>
    </row>
    <row r="233" spans="2:3" x14ac:dyDescent="0.4">
      <c r="B233" s="75">
        <v>42100</v>
      </c>
      <c r="C233">
        <v>120</v>
      </c>
    </row>
    <row r="234" spans="2:3" x14ac:dyDescent="0.4">
      <c r="B234" s="75">
        <v>42150</v>
      </c>
      <c r="C234">
        <v>120</v>
      </c>
    </row>
    <row r="235" spans="2:3" x14ac:dyDescent="0.4">
      <c r="B235" s="75">
        <v>42150</v>
      </c>
      <c r="C235">
        <v>120</v>
      </c>
    </row>
    <row r="236" spans="2:3" x14ac:dyDescent="0.4">
      <c r="B236" s="75">
        <v>42150</v>
      </c>
      <c r="C236">
        <v>120</v>
      </c>
    </row>
    <row r="237" spans="2:3" x14ac:dyDescent="0.4">
      <c r="B237" s="75">
        <v>42150</v>
      </c>
      <c r="C237">
        <v>120</v>
      </c>
    </row>
    <row r="238" spans="2:3" x14ac:dyDescent="0.4">
      <c r="B238" s="75">
        <v>42156</v>
      </c>
      <c r="C238">
        <v>120</v>
      </c>
    </row>
    <row r="239" spans="2:3" x14ac:dyDescent="0.4">
      <c r="B239" s="75">
        <v>42156</v>
      </c>
      <c r="C239">
        <v>120</v>
      </c>
    </row>
    <row r="240" spans="2:3" x14ac:dyDescent="0.4">
      <c r="B240" s="75">
        <v>42156</v>
      </c>
      <c r="C240">
        <v>120</v>
      </c>
    </row>
    <row r="241" spans="2:3" x14ac:dyDescent="0.4">
      <c r="B241" s="75">
        <v>42156</v>
      </c>
      <c r="C241">
        <v>120</v>
      </c>
    </row>
    <row r="242" spans="2:3" x14ac:dyDescent="0.4">
      <c r="B242" s="75">
        <v>42156</v>
      </c>
      <c r="C242">
        <v>120</v>
      </c>
    </row>
    <row r="243" spans="2:3" x14ac:dyDescent="0.4">
      <c r="B243" s="75">
        <v>42156</v>
      </c>
      <c r="C243">
        <v>120</v>
      </c>
    </row>
    <row r="244" spans="2:3" x14ac:dyDescent="0.4">
      <c r="B244" s="75">
        <v>42170</v>
      </c>
      <c r="C244">
        <v>120</v>
      </c>
    </row>
    <row r="245" spans="2:3" x14ac:dyDescent="0.4">
      <c r="B245" s="75">
        <v>42191</v>
      </c>
      <c r="C245">
        <v>120</v>
      </c>
    </row>
    <row r="246" spans="2:3" x14ac:dyDescent="0.4">
      <c r="B246" s="75">
        <v>42205</v>
      </c>
      <c r="C246">
        <v>120</v>
      </c>
    </row>
    <row r="247" spans="2:3" x14ac:dyDescent="0.4">
      <c r="B247" s="75">
        <v>42205</v>
      </c>
      <c r="C247">
        <v>120</v>
      </c>
    </row>
    <row r="248" spans="2:3" x14ac:dyDescent="0.4">
      <c r="B248" s="75">
        <v>42233</v>
      </c>
      <c r="C248">
        <v>120</v>
      </c>
    </row>
    <row r="249" spans="2:3" x14ac:dyDescent="0.4">
      <c r="B249" s="75">
        <v>42233</v>
      </c>
      <c r="C249">
        <v>120</v>
      </c>
    </row>
    <row r="250" spans="2:3" x14ac:dyDescent="0.4">
      <c r="B250" s="75">
        <v>42233</v>
      </c>
      <c r="C250">
        <v>120</v>
      </c>
    </row>
    <row r="251" spans="2:3" x14ac:dyDescent="0.4">
      <c r="B251" s="75">
        <v>42233</v>
      </c>
      <c r="C251">
        <v>120</v>
      </c>
    </row>
    <row r="252" spans="2:3" x14ac:dyDescent="0.4">
      <c r="B252" s="75">
        <v>42233</v>
      </c>
      <c r="C252">
        <v>120</v>
      </c>
    </row>
    <row r="253" spans="2:3" x14ac:dyDescent="0.4">
      <c r="B253" s="75">
        <v>42233</v>
      </c>
      <c r="C253">
        <v>120</v>
      </c>
    </row>
    <row r="254" spans="2:3" x14ac:dyDescent="0.4">
      <c r="B254" s="75">
        <v>42268</v>
      </c>
      <c r="C254">
        <v>120</v>
      </c>
    </row>
    <row r="255" spans="2:3" x14ac:dyDescent="0.4">
      <c r="B255" s="75">
        <v>42268</v>
      </c>
      <c r="C255">
        <v>120</v>
      </c>
    </row>
    <row r="256" spans="2:3" x14ac:dyDescent="0.4">
      <c r="B256" s="75">
        <v>42268</v>
      </c>
      <c r="C256">
        <v>120</v>
      </c>
    </row>
    <row r="257" spans="2:3" x14ac:dyDescent="0.4">
      <c r="B257" s="75">
        <v>42268</v>
      </c>
      <c r="C257">
        <v>120</v>
      </c>
    </row>
    <row r="258" spans="2:3" x14ac:dyDescent="0.4">
      <c r="B258" s="75">
        <v>42275</v>
      </c>
      <c r="C258">
        <v>120</v>
      </c>
    </row>
    <row r="259" spans="2:3" x14ac:dyDescent="0.4">
      <c r="B259" s="75">
        <v>42282</v>
      </c>
      <c r="C259">
        <v>120</v>
      </c>
    </row>
    <row r="260" spans="2:3" x14ac:dyDescent="0.4">
      <c r="B260" s="75">
        <v>42303</v>
      </c>
      <c r="C260">
        <v>120</v>
      </c>
    </row>
    <row r="261" spans="2:3" x14ac:dyDescent="0.4">
      <c r="B261" s="75">
        <v>42303</v>
      </c>
      <c r="C261">
        <v>120</v>
      </c>
    </row>
    <row r="262" spans="2:3" x14ac:dyDescent="0.4">
      <c r="B262" s="75">
        <v>42303</v>
      </c>
      <c r="C262">
        <v>120</v>
      </c>
    </row>
    <row r="263" spans="2:3" x14ac:dyDescent="0.4">
      <c r="B263" s="75">
        <v>42303</v>
      </c>
      <c r="C263">
        <v>120</v>
      </c>
    </row>
    <row r="264" spans="2:3" x14ac:dyDescent="0.4">
      <c r="B264" s="75">
        <v>42303</v>
      </c>
      <c r="C264">
        <v>120</v>
      </c>
    </row>
    <row r="265" spans="2:3" x14ac:dyDescent="0.4">
      <c r="B265" s="75">
        <v>42303</v>
      </c>
      <c r="C265">
        <v>120</v>
      </c>
    </row>
    <row r="266" spans="2:3" x14ac:dyDescent="0.4">
      <c r="B266" s="75">
        <v>42303</v>
      </c>
      <c r="C266">
        <v>120</v>
      </c>
    </row>
    <row r="267" spans="2:3" x14ac:dyDescent="0.4">
      <c r="B267" s="75">
        <v>42310</v>
      </c>
      <c r="C267">
        <v>120</v>
      </c>
    </row>
    <row r="268" spans="2:3" x14ac:dyDescent="0.4">
      <c r="B268" s="75">
        <v>42310</v>
      </c>
      <c r="C268">
        <v>120</v>
      </c>
    </row>
    <row r="269" spans="2:3" x14ac:dyDescent="0.4">
      <c r="B269" s="75">
        <v>42310</v>
      </c>
      <c r="C269">
        <v>120</v>
      </c>
    </row>
    <row r="270" spans="2:3" x14ac:dyDescent="0.4">
      <c r="B270" s="75">
        <v>42310</v>
      </c>
      <c r="C270">
        <v>120</v>
      </c>
    </row>
    <row r="271" spans="2:3" x14ac:dyDescent="0.4">
      <c r="B271" s="75">
        <v>42310</v>
      </c>
      <c r="C271">
        <v>120</v>
      </c>
    </row>
    <row r="272" spans="2:3" x14ac:dyDescent="0.4">
      <c r="B272" s="75">
        <v>42317</v>
      </c>
      <c r="C272">
        <v>120</v>
      </c>
    </row>
    <row r="273" spans="2:3" x14ac:dyDescent="0.4">
      <c r="B273" s="75">
        <v>42457</v>
      </c>
      <c r="C273">
        <v>120</v>
      </c>
    </row>
    <row r="274" spans="2:3" x14ac:dyDescent="0.4">
      <c r="B274" s="75">
        <v>42457</v>
      </c>
      <c r="C274">
        <v>120</v>
      </c>
    </row>
    <row r="275" spans="2:3" x14ac:dyDescent="0.4">
      <c r="B275" s="75">
        <v>42457</v>
      </c>
      <c r="C275">
        <v>120</v>
      </c>
    </row>
    <row r="276" spans="2:3" x14ac:dyDescent="0.4">
      <c r="B276" s="75">
        <v>42457</v>
      </c>
      <c r="C276">
        <v>120</v>
      </c>
    </row>
    <row r="277" spans="2:3" x14ac:dyDescent="0.4">
      <c r="B277" s="75">
        <v>42457</v>
      </c>
      <c r="C277">
        <v>120</v>
      </c>
    </row>
    <row r="278" spans="2:3" x14ac:dyDescent="0.4">
      <c r="B278" s="75">
        <v>42457</v>
      </c>
      <c r="C278">
        <v>120</v>
      </c>
    </row>
    <row r="279" spans="2:3" x14ac:dyDescent="0.4">
      <c r="B279" s="75">
        <v>42457</v>
      </c>
      <c r="C279">
        <v>120</v>
      </c>
    </row>
    <row r="280" spans="2:3" x14ac:dyDescent="0.4">
      <c r="B280" s="75">
        <v>42464</v>
      </c>
      <c r="C280">
        <v>120</v>
      </c>
    </row>
    <row r="281" spans="2:3" x14ac:dyDescent="0.4">
      <c r="B281" s="75">
        <v>42464</v>
      </c>
      <c r="C281">
        <v>120</v>
      </c>
    </row>
    <row r="282" spans="2:3" x14ac:dyDescent="0.4">
      <c r="B282" s="75">
        <v>42464</v>
      </c>
      <c r="C282">
        <v>120</v>
      </c>
    </row>
    <row r="283" spans="2:3" x14ac:dyDescent="0.4">
      <c r="B283" s="75">
        <v>42464</v>
      </c>
      <c r="C283">
        <v>120</v>
      </c>
    </row>
    <row r="284" spans="2:3" x14ac:dyDescent="0.4">
      <c r="B284" s="75">
        <v>42464</v>
      </c>
      <c r="C284">
        <v>120</v>
      </c>
    </row>
    <row r="285" spans="2:3" x14ac:dyDescent="0.4">
      <c r="B285" s="75">
        <v>42464</v>
      </c>
      <c r="C285">
        <v>120</v>
      </c>
    </row>
    <row r="286" spans="2:3" x14ac:dyDescent="0.4">
      <c r="B286" s="75">
        <v>42492</v>
      </c>
      <c r="C286">
        <v>120</v>
      </c>
    </row>
    <row r="287" spans="2:3" x14ac:dyDescent="0.4">
      <c r="B287" s="75">
        <v>42499</v>
      </c>
      <c r="C287">
        <v>120</v>
      </c>
    </row>
    <row r="288" spans="2:3" x14ac:dyDescent="0.4">
      <c r="B288" s="75">
        <v>42499</v>
      </c>
      <c r="C288">
        <v>120</v>
      </c>
    </row>
    <row r="289" spans="2:3" x14ac:dyDescent="0.4">
      <c r="B289" s="75">
        <v>42499</v>
      </c>
      <c r="C289">
        <v>120</v>
      </c>
    </row>
    <row r="290" spans="2:3" x14ac:dyDescent="0.4">
      <c r="B290" s="75">
        <v>42499</v>
      </c>
      <c r="C290">
        <v>120</v>
      </c>
    </row>
    <row r="291" spans="2:3" x14ac:dyDescent="0.4">
      <c r="B291" s="75">
        <v>42513</v>
      </c>
      <c r="C291">
        <v>120</v>
      </c>
    </row>
    <row r="292" spans="2:3" x14ac:dyDescent="0.4">
      <c r="B292" s="75">
        <v>42513</v>
      </c>
      <c r="C292">
        <v>120</v>
      </c>
    </row>
    <row r="293" spans="2:3" x14ac:dyDescent="0.4">
      <c r="B293" s="75">
        <v>42513</v>
      </c>
      <c r="C293">
        <v>120</v>
      </c>
    </row>
    <row r="294" spans="2:3" x14ac:dyDescent="0.4">
      <c r="B294" s="75">
        <v>42534</v>
      </c>
      <c r="C294">
        <v>120</v>
      </c>
    </row>
    <row r="295" spans="2:3" x14ac:dyDescent="0.4">
      <c r="B295" s="75">
        <v>42534</v>
      </c>
      <c r="C295">
        <v>120</v>
      </c>
    </row>
    <row r="296" spans="2:3" x14ac:dyDescent="0.4">
      <c r="B296" s="75">
        <v>42534</v>
      </c>
      <c r="C296">
        <v>120</v>
      </c>
    </row>
    <row r="297" spans="2:3" x14ac:dyDescent="0.4">
      <c r="B297" s="75">
        <v>42556</v>
      </c>
      <c r="C297">
        <v>120</v>
      </c>
    </row>
    <row r="298" spans="2:3" x14ac:dyDescent="0.4">
      <c r="B298" s="75">
        <v>42556</v>
      </c>
      <c r="C298">
        <v>120</v>
      </c>
    </row>
    <row r="299" spans="2:3" x14ac:dyDescent="0.4">
      <c r="B299" s="75">
        <v>42562</v>
      </c>
      <c r="C299">
        <v>120</v>
      </c>
    </row>
    <row r="300" spans="2:3" x14ac:dyDescent="0.4">
      <c r="B300" s="75">
        <v>42569</v>
      </c>
      <c r="C300">
        <v>120</v>
      </c>
    </row>
    <row r="301" spans="2:3" x14ac:dyDescent="0.4">
      <c r="B301" s="75">
        <v>42569</v>
      </c>
      <c r="C301">
        <v>120</v>
      </c>
    </row>
    <row r="302" spans="2:3" x14ac:dyDescent="0.4">
      <c r="B302" s="75">
        <v>42569</v>
      </c>
      <c r="C302">
        <v>120</v>
      </c>
    </row>
    <row r="303" spans="2:3" x14ac:dyDescent="0.4">
      <c r="B303" s="75">
        <v>42569</v>
      </c>
      <c r="C303">
        <v>120</v>
      </c>
    </row>
    <row r="304" spans="2:3" x14ac:dyDescent="0.4">
      <c r="B304" s="75">
        <v>42569</v>
      </c>
      <c r="C304">
        <v>120</v>
      </c>
    </row>
    <row r="305" spans="2:3" x14ac:dyDescent="0.4">
      <c r="B305" s="75">
        <v>42569</v>
      </c>
      <c r="C305">
        <v>120</v>
      </c>
    </row>
    <row r="306" spans="2:3" x14ac:dyDescent="0.4">
      <c r="B306" s="75">
        <v>42569</v>
      </c>
      <c r="C306">
        <v>120</v>
      </c>
    </row>
    <row r="307" spans="2:3" x14ac:dyDescent="0.4">
      <c r="B307" s="75">
        <v>42569</v>
      </c>
      <c r="C307">
        <v>120</v>
      </c>
    </row>
    <row r="308" spans="2:3" x14ac:dyDescent="0.4">
      <c r="B308" s="75">
        <v>42576</v>
      </c>
      <c r="C308">
        <v>120</v>
      </c>
    </row>
    <row r="309" spans="2:3" x14ac:dyDescent="0.4">
      <c r="B309" s="75">
        <v>42576</v>
      </c>
      <c r="C309">
        <v>120</v>
      </c>
    </row>
    <row r="310" spans="2:3" x14ac:dyDescent="0.4">
      <c r="B310" s="75">
        <v>42590</v>
      </c>
      <c r="C310">
        <v>120</v>
      </c>
    </row>
    <row r="311" spans="2:3" x14ac:dyDescent="0.4">
      <c r="B311" s="75">
        <v>42590</v>
      </c>
      <c r="C311">
        <v>120</v>
      </c>
    </row>
    <row r="312" spans="2:3" x14ac:dyDescent="0.4">
      <c r="B312" s="75">
        <v>42597</v>
      </c>
      <c r="C312">
        <v>120</v>
      </c>
    </row>
    <row r="313" spans="2:3" x14ac:dyDescent="0.4">
      <c r="B313" s="75">
        <v>42597</v>
      </c>
      <c r="C313">
        <v>120</v>
      </c>
    </row>
    <row r="314" spans="2:3" x14ac:dyDescent="0.4">
      <c r="B314" s="75">
        <v>42597</v>
      </c>
      <c r="C314">
        <v>120</v>
      </c>
    </row>
    <row r="315" spans="2:3" x14ac:dyDescent="0.4">
      <c r="B315" s="75">
        <v>42597</v>
      </c>
      <c r="C315">
        <v>120</v>
      </c>
    </row>
    <row r="316" spans="2:3" x14ac:dyDescent="0.4">
      <c r="B316" s="75">
        <v>42604</v>
      </c>
      <c r="C316">
        <v>120</v>
      </c>
    </row>
    <row r="317" spans="2:3" x14ac:dyDescent="0.4">
      <c r="B317" s="75">
        <v>42604</v>
      </c>
      <c r="C317">
        <v>120</v>
      </c>
    </row>
    <row r="318" spans="2:3" x14ac:dyDescent="0.4">
      <c r="B318" s="75">
        <v>42604</v>
      </c>
      <c r="C318">
        <v>120</v>
      </c>
    </row>
    <row r="319" spans="2:3" x14ac:dyDescent="0.4">
      <c r="B319" s="75">
        <v>42604</v>
      </c>
      <c r="C319">
        <v>120</v>
      </c>
    </row>
    <row r="320" spans="2:3" x14ac:dyDescent="0.4">
      <c r="B320" s="75">
        <v>42604</v>
      </c>
      <c r="C320">
        <v>120</v>
      </c>
    </row>
    <row r="321" spans="2:3" x14ac:dyDescent="0.4">
      <c r="B321" s="75">
        <v>42604</v>
      </c>
      <c r="C321">
        <v>120</v>
      </c>
    </row>
    <row r="322" spans="2:3" x14ac:dyDescent="0.4">
      <c r="B322" s="75">
        <v>42611</v>
      </c>
      <c r="C322">
        <v>120</v>
      </c>
    </row>
    <row r="323" spans="2:3" x14ac:dyDescent="0.4">
      <c r="B323" s="75">
        <v>42611</v>
      </c>
      <c r="C323">
        <v>120</v>
      </c>
    </row>
    <row r="324" spans="2:3" x14ac:dyDescent="0.4">
      <c r="B324" s="75">
        <v>42611</v>
      </c>
      <c r="C324">
        <v>120</v>
      </c>
    </row>
    <row r="325" spans="2:3" x14ac:dyDescent="0.4">
      <c r="B325" s="75">
        <v>42619</v>
      </c>
      <c r="C325">
        <v>120</v>
      </c>
    </row>
    <row r="326" spans="2:3" x14ac:dyDescent="0.4">
      <c r="B326" s="75">
        <v>42619</v>
      </c>
      <c r="C326">
        <v>120</v>
      </c>
    </row>
    <row r="327" spans="2:3" x14ac:dyDescent="0.4">
      <c r="B327" s="75">
        <v>42619</v>
      </c>
      <c r="C327">
        <v>120</v>
      </c>
    </row>
    <row r="328" spans="2:3" x14ac:dyDescent="0.4">
      <c r="B328" s="75">
        <v>42625</v>
      </c>
      <c r="C328">
        <v>120</v>
      </c>
    </row>
    <row r="329" spans="2:3" x14ac:dyDescent="0.4">
      <c r="B329" s="75">
        <v>42625</v>
      </c>
      <c r="C329">
        <v>120</v>
      </c>
    </row>
    <row r="330" spans="2:3" x14ac:dyDescent="0.4">
      <c r="B330" s="75">
        <v>42625</v>
      </c>
      <c r="C330">
        <v>120</v>
      </c>
    </row>
    <row r="331" spans="2:3" x14ac:dyDescent="0.4">
      <c r="B331" s="75">
        <v>42625</v>
      </c>
      <c r="C331">
        <v>120</v>
      </c>
    </row>
    <row r="332" spans="2:3" x14ac:dyDescent="0.4">
      <c r="B332" s="75">
        <v>42625</v>
      </c>
      <c r="C332">
        <v>120</v>
      </c>
    </row>
    <row r="333" spans="2:3" x14ac:dyDescent="0.4">
      <c r="B333" s="75">
        <v>42639</v>
      </c>
      <c r="C333">
        <v>120</v>
      </c>
    </row>
    <row r="334" spans="2:3" x14ac:dyDescent="0.4">
      <c r="B334" s="75">
        <v>42639</v>
      </c>
      <c r="C334">
        <v>120</v>
      </c>
    </row>
    <row r="335" spans="2:3" x14ac:dyDescent="0.4">
      <c r="B335" s="75">
        <v>42639</v>
      </c>
      <c r="C335">
        <v>120</v>
      </c>
    </row>
    <row r="336" spans="2:3" x14ac:dyDescent="0.4">
      <c r="B336" s="75">
        <v>42639</v>
      </c>
      <c r="C336">
        <v>120</v>
      </c>
    </row>
    <row r="337" spans="2:3" x14ac:dyDescent="0.4">
      <c r="B337" s="75">
        <v>42639</v>
      </c>
      <c r="C337">
        <v>120</v>
      </c>
    </row>
    <row r="338" spans="2:3" x14ac:dyDescent="0.4">
      <c r="B338" s="75">
        <v>42639</v>
      </c>
      <c r="C338">
        <v>120</v>
      </c>
    </row>
    <row r="339" spans="2:3" x14ac:dyDescent="0.4">
      <c r="B339" s="75">
        <v>42731</v>
      </c>
      <c r="C339">
        <v>120</v>
      </c>
    </row>
    <row r="340" spans="2:3" x14ac:dyDescent="0.4">
      <c r="B340" s="75">
        <v>42996</v>
      </c>
      <c r="C340">
        <v>120</v>
      </c>
    </row>
    <row r="341" spans="2:3" x14ac:dyDescent="0.4">
      <c r="B341" s="75">
        <v>43276</v>
      </c>
      <c r="C341">
        <v>120</v>
      </c>
    </row>
    <row r="342" spans="2:3" x14ac:dyDescent="0.4">
      <c r="B342" s="75">
        <v>43276</v>
      </c>
      <c r="C342">
        <v>120</v>
      </c>
    </row>
    <row r="343" spans="2:3" x14ac:dyDescent="0.4">
      <c r="B343" s="75">
        <v>43276</v>
      </c>
      <c r="C343">
        <v>120</v>
      </c>
    </row>
    <row r="344" spans="2:3" x14ac:dyDescent="0.4">
      <c r="B344" s="75">
        <v>43290</v>
      </c>
      <c r="C344">
        <v>120</v>
      </c>
    </row>
    <row r="345" spans="2:3" x14ac:dyDescent="0.4">
      <c r="B345" s="75">
        <v>43353</v>
      </c>
      <c r="C345">
        <v>120</v>
      </c>
    </row>
    <row r="346" spans="2:3" x14ac:dyDescent="0.4">
      <c r="B346" s="75">
        <v>43444</v>
      </c>
      <c r="C346">
        <v>120</v>
      </c>
    </row>
    <row r="347" spans="2:3" x14ac:dyDescent="0.4">
      <c r="B347" s="75">
        <v>43472</v>
      </c>
      <c r="C347">
        <v>120</v>
      </c>
    </row>
    <row r="348" spans="2:3" x14ac:dyDescent="0.4">
      <c r="B348" s="75">
        <v>43472</v>
      </c>
      <c r="C348">
        <v>120</v>
      </c>
    </row>
    <row r="349" spans="2:3" x14ac:dyDescent="0.4">
      <c r="B349" s="75">
        <v>43472</v>
      </c>
      <c r="C349">
        <v>120</v>
      </c>
    </row>
    <row r="350" spans="2:3" x14ac:dyDescent="0.4">
      <c r="B350" s="75">
        <v>43472</v>
      </c>
      <c r="C350">
        <v>120</v>
      </c>
    </row>
    <row r="351" spans="2:3" x14ac:dyDescent="0.4">
      <c r="B351" s="75">
        <v>43472</v>
      </c>
      <c r="C351">
        <v>120</v>
      </c>
    </row>
    <row r="352" spans="2:3" x14ac:dyDescent="0.4">
      <c r="B352" s="75">
        <v>43472</v>
      </c>
      <c r="C352">
        <v>120</v>
      </c>
    </row>
    <row r="353" spans="2:3" x14ac:dyDescent="0.4">
      <c r="B353" s="75">
        <v>43472</v>
      </c>
      <c r="C353">
        <v>120</v>
      </c>
    </row>
    <row r="354" spans="2:3" x14ac:dyDescent="0.4">
      <c r="B354" s="75">
        <v>43487</v>
      </c>
      <c r="C354">
        <v>120</v>
      </c>
    </row>
    <row r="355" spans="2:3" x14ac:dyDescent="0.4">
      <c r="B355" s="75">
        <v>43487</v>
      </c>
      <c r="C355">
        <v>120</v>
      </c>
    </row>
    <row r="356" spans="2:3" x14ac:dyDescent="0.4">
      <c r="B356" s="75">
        <v>43487</v>
      </c>
      <c r="C356">
        <v>120</v>
      </c>
    </row>
    <row r="357" spans="2:3" x14ac:dyDescent="0.4">
      <c r="B357" s="75">
        <v>43487</v>
      </c>
      <c r="C357">
        <v>120</v>
      </c>
    </row>
    <row r="358" spans="2:3" x14ac:dyDescent="0.4">
      <c r="B358" s="75">
        <v>43487</v>
      </c>
      <c r="C358">
        <v>120</v>
      </c>
    </row>
    <row r="359" spans="2:3" x14ac:dyDescent="0.4">
      <c r="B359" s="75">
        <v>43487</v>
      </c>
      <c r="C359">
        <v>120</v>
      </c>
    </row>
    <row r="360" spans="2:3" x14ac:dyDescent="0.4">
      <c r="B360" s="75">
        <v>43549</v>
      </c>
      <c r="C360">
        <v>120</v>
      </c>
    </row>
    <row r="361" spans="2:3" x14ac:dyDescent="0.4">
      <c r="B361" s="75">
        <v>43682</v>
      </c>
      <c r="C361">
        <v>120</v>
      </c>
    </row>
    <row r="362" spans="2:3" x14ac:dyDescent="0.4">
      <c r="B362" s="75">
        <v>43696</v>
      </c>
      <c r="C362">
        <v>120</v>
      </c>
    </row>
    <row r="363" spans="2:3" x14ac:dyDescent="0.4">
      <c r="B363" s="75">
        <v>43745</v>
      </c>
      <c r="C363">
        <v>120</v>
      </c>
    </row>
    <row r="364" spans="2:3" x14ac:dyDescent="0.4">
      <c r="B364" s="75">
        <v>44060</v>
      </c>
      <c r="C364">
        <v>80</v>
      </c>
    </row>
    <row r="365" spans="2:3" x14ac:dyDescent="0.4">
      <c r="B365" s="75">
        <v>44060</v>
      </c>
      <c r="C365">
        <v>80</v>
      </c>
    </row>
    <row r="366" spans="2:3" x14ac:dyDescent="0.4">
      <c r="B366" s="75">
        <v>44060</v>
      </c>
      <c r="C366">
        <v>80</v>
      </c>
    </row>
    <row r="367" spans="2:3" x14ac:dyDescent="0.4">
      <c r="B367" s="75">
        <v>44060</v>
      </c>
      <c r="C367">
        <v>80</v>
      </c>
    </row>
    <row r="368" spans="2:3" x14ac:dyDescent="0.4">
      <c r="B368" s="75">
        <v>44060</v>
      </c>
      <c r="C368">
        <v>80</v>
      </c>
    </row>
    <row r="369" spans="2:3" x14ac:dyDescent="0.4">
      <c r="B369" s="75">
        <v>44060</v>
      </c>
      <c r="C369">
        <v>80</v>
      </c>
    </row>
    <row r="370" spans="2:3" x14ac:dyDescent="0.4">
      <c r="B370" s="75">
        <v>44060</v>
      </c>
      <c r="C370">
        <v>80</v>
      </c>
    </row>
    <row r="371" spans="2:3" x14ac:dyDescent="0.4">
      <c r="B371" s="75">
        <v>44060</v>
      </c>
      <c r="C371">
        <v>80</v>
      </c>
    </row>
    <row r="372" spans="2:3" x14ac:dyDescent="0.4">
      <c r="B372" s="75">
        <v>44060</v>
      </c>
      <c r="C372">
        <v>80</v>
      </c>
    </row>
    <row r="373" spans="2:3" x14ac:dyDescent="0.4">
      <c r="B373" s="75">
        <v>44060</v>
      </c>
      <c r="C373">
        <v>80</v>
      </c>
    </row>
    <row r="374" spans="2:3" x14ac:dyDescent="0.4">
      <c r="B374" s="75">
        <v>44060</v>
      </c>
      <c r="C374">
        <v>80</v>
      </c>
    </row>
    <row r="375" spans="2:3" x14ac:dyDescent="0.4">
      <c r="B375" s="75">
        <v>44060</v>
      </c>
      <c r="C375">
        <v>80</v>
      </c>
    </row>
    <row r="376" spans="2:3" x14ac:dyDescent="0.4">
      <c r="B376" s="75">
        <v>44060</v>
      </c>
      <c r="C376">
        <v>80</v>
      </c>
    </row>
    <row r="377" spans="2:3" x14ac:dyDescent="0.4">
      <c r="B377" s="75">
        <v>44061</v>
      </c>
      <c r="C377">
        <v>80</v>
      </c>
    </row>
    <row r="378" spans="2:3" x14ac:dyDescent="0.4">
      <c r="B378" s="75">
        <v>44061</v>
      </c>
      <c r="C378">
        <v>80</v>
      </c>
    </row>
    <row r="379" spans="2:3" x14ac:dyDescent="0.4">
      <c r="B379" s="75">
        <v>44077</v>
      </c>
      <c r="C379">
        <v>80</v>
      </c>
    </row>
    <row r="380" spans="2:3" x14ac:dyDescent="0.4">
      <c r="B380" s="75">
        <v>44077</v>
      </c>
      <c r="C380">
        <v>80</v>
      </c>
    </row>
    <row r="381" spans="2:3" x14ac:dyDescent="0.4">
      <c r="B381" s="75">
        <v>44077</v>
      </c>
      <c r="C381">
        <v>80</v>
      </c>
    </row>
    <row r="382" spans="2:3" x14ac:dyDescent="0.4">
      <c r="B382" s="75">
        <v>44077</v>
      </c>
      <c r="C382">
        <v>80</v>
      </c>
    </row>
    <row r="383" spans="2:3" x14ac:dyDescent="0.4">
      <c r="B383" s="75">
        <v>44077</v>
      </c>
      <c r="C383">
        <v>80</v>
      </c>
    </row>
    <row r="384" spans="2:3" x14ac:dyDescent="0.4">
      <c r="B384" s="75">
        <v>44077</v>
      </c>
      <c r="C384">
        <v>80</v>
      </c>
    </row>
    <row r="385" spans="2:3" x14ac:dyDescent="0.4">
      <c r="B385" s="75">
        <v>44077</v>
      </c>
      <c r="C385">
        <v>80</v>
      </c>
    </row>
    <row r="386" spans="2:3" x14ac:dyDescent="0.4">
      <c r="B386" s="75">
        <v>44077</v>
      </c>
      <c r="C386">
        <v>80</v>
      </c>
    </row>
    <row r="387" spans="2:3" x14ac:dyDescent="0.4">
      <c r="B387" s="75">
        <v>44082</v>
      </c>
      <c r="C387">
        <v>80</v>
      </c>
    </row>
    <row r="388" spans="2:3" x14ac:dyDescent="0.4">
      <c r="B388" s="75">
        <v>44082</v>
      </c>
      <c r="C388">
        <v>80</v>
      </c>
    </row>
    <row r="389" spans="2:3" x14ac:dyDescent="0.4">
      <c r="B389" s="75">
        <v>44305</v>
      </c>
      <c r="C389">
        <v>80</v>
      </c>
    </row>
    <row r="390" spans="2:3" x14ac:dyDescent="0.4">
      <c r="B390" s="75">
        <v>44424</v>
      </c>
      <c r="C390">
        <v>80</v>
      </c>
    </row>
    <row r="391" spans="2:3" x14ac:dyDescent="0.4">
      <c r="B391" s="75">
        <v>44571</v>
      </c>
      <c r="C391">
        <v>80</v>
      </c>
    </row>
    <row r="392" spans="2:3" x14ac:dyDescent="0.4">
      <c r="B392" s="75">
        <v>44579</v>
      </c>
      <c r="C392">
        <v>80</v>
      </c>
    </row>
    <row r="393" spans="2:3" x14ac:dyDescent="0.4">
      <c r="B393" s="75">
        <v>44579</v>
      </c>
      <c r="C393">
        <v>80</v>
      </c>
    </row>
    <row r="394" spans="2:3" x14ac:dyDescent="0.4">
      <c r="B394" s="75">
        <v>44579</v>
      </c>
      <c r="C394">
        <v>80</v>
      </c>
    </row>
    <row r="395" spans="2:3" x14ac:dyDescent="0.4">
      <c r="B395" s="75">
        <v>44579</v>
      </c>
      <c r="C395">
        <v>80</v>
      </c>
    </row>
    <row r="396" spans="2:3" x14ac:dyDescent="0.4">
      <c r="B396" s="75">
        <v>44579</v>
      </c>
      <c r="C396">
        <v>80</v>
      </c>
    </row>
    <row r="397" spans="2:3" x14ac:dyDescent="0.4">
      <c r="B397" s="75">
        <v>44599</v>
      </c>
      <c r="C397">
        <v>80</v>
      </c>
    </row>
    <row r="398" spans="2:3" x14ac:dyDescent="0.4">
      <c r="B398" s="75">
        <v>44599</v>
      </c>
      <c r="C398">
        <v>80</v>
      </c>
    </row>
    <row r="399" spans="2:3" x14ac:dyDescent="0.4">
      <c r="B399" s="75">
        <v>44599</v>
      </c>
      <c r="C399">
        <v>80</v>
      </c>
    </row>
    <row r="400" spans="2:3" x14ac:dyDescent="0.4">
      <c r="B400" s="75">
        <v>44599</v>
      </c>
      <c r="C400">
        <v>80</v>
      </c>
    </row>
    <row r="401" spans="2:3" x14ac:dyDescent="0.4">
      <c r="B401" s="75">
        <v>44599</v>
      </c>
      <c r="C401">
        <v>80</v>
      </c>
    </row>
    <row r="402" spans="2:3" x14ac:dyDescent="0.4">
      <c r="B402" s="75">
        <v>44599</v>
      </c>
      <c r="C402">
        <v>80</v>
      </c>
    </row>
    <row r="403" spans="2:3" x14ac:dyDescent="0.4">
      <c r="B403" s="75">
        <v>44599</v>
      </c>
      <c r="C403">
        <v>80</v>
      </c>
    </row>
    <row r="404" spans="2:3" x14ac:dyDescent="0.4">
      <c r="B404" s="75">
        <v>44599</v>
      </c>
      <c r="C404">
        <v>80</v>
      </c>
    </row>
    <row r="405" spans="2:3" x14ac:dyDescent="0.4">
      <c r="B405" s="75">
        <v>44599</v>
      </c>
      <c r="C405">
        <v>80</v>
      </c>
    </row>
    <row r="406" spans="2:3" x14ac:dyDescent="0.4">
      <c r="B406" s="75">
        <v>44599</v>
      </c>
      <c r="C406">
        <v>80</v>
      </c>
    </row>
    <row r="407" spans="2:3" x14ac:dyDescent="0.4">
      <c r="B407" s="75">
        <v>44606</v>
      </c>
      <c r="C407">
        <v>80</v>
      </c>
    </row>
    <row r="408" spans="2:3" x14ac:dyDescent="0.4">
      <c r="B408" s="75">
        <v>44606</v>
      </c>
      <c r="C408">
        <v>80</v>
      </c>
    </row>
    <row r="409" spans="2:3" x14ac:dyDescent="0.4">
      <c r="B409" s="75">
        <v>44606</v>
      </c>
      <c r="C409">
        <v>80</v>
      </c>
    </row>
    <row r="410" spans="2:3" x14ac:dyDescent="0.4">
      <c r="B410" s="75">
        <v>44606</v>
      </c>
      <c r="C410">
        <v>80</v>
      </c>
    </row>
    <row r="411" spans="2:3" x14ac:dyDescent="0.4">
      <c r="B411" s="75">
        <v>44606</v>
      </c>
      <c r="C411">
        <v>80</v>
      </c>
    </row>
    <row r="412" spans="2:3" x14ac:dyDescent="0.4">
      <c r="B412" s="75">
        <v>44606</v>
      </c>
      <c r="C412">
        <v>80</v>
      </c>
    </row>
    <row r="413" spans="2:3" x14ac:dyDescent="0.4">
      <c r="B413" s="75">
        <v>44606</v>
      </c>
      <c r="C413">
        <v>80</v>
      </c>
    </row>
    <row r="414" spans="2:3" x14ac:dyDescent="0.4">
      <c r="B414" s="75">
        <v>44606</v>
      </c>
      <c r="C414">
        <v>80</v>
      </c>
    </row>
    <row r="415" spans="2:3" x14ac:dyDescent="0.4">
      <c r="B415" s="75">
        <v>44606</v>
      </c>
      <c r="C415">
        <v>80</v>
      </c>
    </row>
    <row r="416" spans="2:3" x14ac:dyDescent="0.4">
      <c r="B416" s="75">
        <v>44606</v>
      </c>
      <c r="C416">
        <v>80</v>
      </c>
    </row>
    <row r="417" spans="2:3" x14ac:dyDescent="0.4">
      <c r="B417" s="75">
        <v>44606</v>
      </c>
      <c r="C417">
        <v>80</v>
      </c>
    </row>
    <row r="418" spans="2:3" x14ac:dyDescent="0.4">
      <c r="B418" s="75">
        <v>44620</v>
      </c>
      <c r="C418">
        <v>80</v>
      </c>
    </row>
    <row r="419" spans="2:3" x14ac:dyDescent="0.4">
      <c r="B419" s="75">
        <v>44620</v>
      </c>
      <c r="C419">
        <v>80</v>
      </c>
    </row>
    <row r="420" spans="2:3" x14ac:dyDescent="0.4">
      <c r="B420" s="75">
        <v>44620</v>
      </c>
      <c r="C420">
        <v>80</v>
      </c>
    </row>
    <row r="421" spans="2:3" x14ac:dyDescent="0.4">
      <c r="B421" s="75">
        <v>44620</v>
      </c>
      <c r="C421">
        <v>80</v>
      </c>
    </row>
    <row r="422" spans="2:3" x14ac:dyDescent="0.4">
      <c r="B422" s="75">
        <v>44620</v>
      </c>
      <c r="C422">
        <v>80</v>
      </c>
    </row>
    <row r="423" spans="2:3" x14ac:dyDescent="0.4">
      <c r="B423" s="75">
        <v>44620</v>
      </c>
      <c r="C423">
        <v>80</v>
      </c>
    </row>
    <row r="424" spans="2:3" x14ac:dyDescent="0.4">
      <c r="B424" s="75">
        <v>44620</v>
      </c>
      <c r="C424">
        <v>80</v>
      </c>
    </row>
    <row r="425" spans="2:3" x14ac:dyDescent="0.4">
      <c r="B425" s="75">
        <v>44620</v>
      </c>
      <c r="C425">
        <v>80</v>
      </c>
    </row>
    <row r="426" spans="2:3" x14ac:dyDescent="0.4">
      <c r="B426" s="75">
        <v>44620</v>
      </c>
      <c r="C426">
        <v>80</v>
      </c>
    </row>
    <row r="427" spans="2:3" x14ac:dyDescent="0.4">
      <c r="B427" s="75">
        <v>44620</v>
      </c>
      <c r="C427">
        <v>80</v>
      </c>
    </row>
    <row r="428" spans="2:3" x14ac:dyDescent="0.4">
      <c r="B428" s="75">
        <v>44627</v>
      </c>
      <c r="C428">
        <v>80</v>
      </c>
    </row>
    <row r="429" spans="2:3" x14ac:dyDescent="0.4">
      <c r="B429" s="75">
        <v>44627</v>
      </c>
      <c r="C429">
        <v>80</v>
      </c>
    </row>
    <row r="430" spans="2:3" x14ac:dyDescent="0.4">
      <c r="B430" s="75">
        <v>44627</v>
      </c>
      <c r="C430">
        <v>80</v>
      </c>
    </row>
    <row r="431" spans="2:3" x14ac:dyDescent="0.4">
      <c r="B431" s="75">
        <v>44627</v>
      </c>
      <c r="C431">
        <v>80</v>
      </c>
    </row>
    <row r="432" spans="2:3" x14ac:dyDescent="0.4">
      <c r="B432" s="75">
        <v>44627</v>
      </c>
      <c r="C432">
        <v>80</v>
      </c>
    </row>
    <row r="433" spans="2:3" x14ac:dyDescent="0.4">
      <c r="B433" s="75">
        <v>44655</v>
      </c>
      <c r="C433">
        <v>80</v>
      </c>
    </row>
    <row r="434" spans="2:3" x14ac:dyDescent="0.4">
      <c r="B434" s="75">
        <v>44662</v>
      </c>
      <c r="C434">
        <v>80</v>
      </c>
    </row>
    <row r="435" spans="2:3" x14ac:dyDescent="0.4">
      <c r="B435" s="75">
        <v>44669</v>
      </c>
      <c r="C435">
        <v>80</v>
      </c>
    </row>
    <row r="436" spans="2:3" x14ac:dyDescent="0.4">
      <c r="B436" s="75">
        <v>44697</v>
      </c>
      <c r="C436">
        <v>80</v>
      </c>
    </row>
    <row r="437" spans="2:3" x14ac:dyDescent="0.4">
      <c r="B437" s="75">
        <v>44802</v>
      </c>
      <c r="C437">
        <v>80</v>
      </c>
    </row>
    <row r="438" spans="2:3" x14ac:dyDescent="0.4">
      <c r="B438" s="75">
        <v>44872</v>
      </c>
      <c r="C438">
        <v>80</v>
      </c>
    </row>
    <row r="439" spans="2:3" x14ac:dyDescent="0.4">
      <c r="B439" s="75">
        <v>44970</v>
      </c>
      <c r="C439">
        <v>40</v>
      </c>
    </row>
    <row r="440" spans="2:3" x14ac:dyDescent="0.4">
      <c r="B440" s="75">
        <v>44970</v>
      </c>
      <c r="C440">
        <v>40</v>
      </c>
    </row>
    <row r="441" spans="2:3" x14ac:dyDescent="0.4">
      <c r="B441" s="75">
        <v>44970</v>
      </c>
      <c r="C441">
        <v>40</v>
      </c>
    </row>
    <row r="442" spans="2:3" x14ac:dyDescent="0.4">
      <c r="B442" s="75">
        <v>44970</v>
      </c>
      <c r="C442">
        <v>40</v>
      </c>
    </row>
    <row r="443" spans="2:3" x14ac:dyDescent="0.4">
      <c r="B443" s="75">
        <v>44970</v>
      </c>
      <c r="C443">
        <v>40</v>
      </c>
    </row>
    <row r="444" spans="2:3" x14ac:dyDescent="0.4">
      <c r="B444" s="75">
        <v>44970</v>
      </c>
      <c r="C444">
        <v>40</v>
      </c>
    </row>
    <row r="445" spans="2:3" x14ac:dyDescent="0.4">
      <c r="B445" s="75">
        <v>44970</v>
      </c>
      <c r="C445">
        <v>40</v>
      </c>
    </row>
    <row r="446" spans="2:3" x14ac:dyDescent="0.4">
      <c r="B446" s="75">
        <v>44970</v>
      </c>
      <c r="C446">
        <v>40</v>
      </c>
    </row>
    <row r="447" spans="2:3" x14ac:dyDescent="0.4">
      <c r="B447" s="75">
        <v>44970</v>
      </c>
      <c r="C447">
        <v>40</v>
      </c>
    </row>
    <row r="448" spans="2:3" x14ac:dyDescent="0.4">
      <c r="B448" s="75">
        <v>44970</v>
      </c>
      <c r="C448">
        <v>40</v>
      </c>
    </row>
    <row r="449" spans="2:3" x14ac:dyDescent="0.4">
      <c r="B449" s="75">
        <v>44984</v>
      </c>
      <c r="C449">
        <v>40</v>
      </c>
    </row>
    <row r="450" spans="2:3" x14ac:dyDescent="0.4">
      <c r="B450" s="75">
        <v>44984</v>
      </c>
      <c r="C450">
        <v>40</v>
      </c>
    </row>
    <row r="451" spans="2:3" x14ac:dyDescent="0.4">
      <c r="B451" s="75">
        <v>44984</v>
      </c>
      <c r="C451">
        <v>40</v>
      </c>
    </row>
    <row r="452" spans="2:3" x14ac:dyDescent="0.4">
      <c r="B452" s="75">
        <v>44984</v>
      </c>
      <c r="C452">
        <v>40</v>
      </c>
    </row>
    <row r="453" spans="2:3" x14ac:dyDescent="0.4">
      <c r="B453" s="75">
        <v>44984</v>
      </c>
      <c r="C453">
        <v>40</v>
      </c>
    </row>
    <row r="454" spans="2:3" x14ac:dyDescent="0.4">
      <c r="B454" s="75">
        <v>44984</v>
      </c>
      <c r="C454">
        <v>40</v>
      </c>
    </row>
    <row r="455" spans="2:3" x14ac:dyDescent="0.4">
      <c r="B455" s="75">
        <v>44984</v>
      </c>
      <c r="C455">
        <v>40</v>
      </c>
    </row>
    <row r="456" spans="2:3" x14ac:dyDescent="0.4">
      <c r="B456" s="75">
        <v>44984</v>
      </c>
      <c r="C456">
        <v>40</v>
      </c>
    </row>
    <row r="457" spans="2:3" x14ac:dyDescent="0.4">
      <c r="B457" s="75">
        <v>44984</v>
      </c>
      <c r="C457">
        <v>40</v>
      </c>
    </row>
    <row r="458" spans="2:3" x14ac:dyDescent="0.4">
      <c r="B458" s="75">
        <v>44984</v>
      </c>
      <c r="C458">
        <v>40</v>
      </c>
    </row>
    <row r="459" spans="2:3" x14ac:dyDescent="0.4">
      <c r="B459" s="75">
        <v>44998</v>
      </c>
      <c r="C459">
        <v>40</v>
      </c>
    </row>
    <row r="460" spans="2:3" x14ac:dyDescent="0.4">
      <c r="B460" s="75">
        <v>44998</v>
      </c>
      <c r="C460">
        <v>40</v>
      </c>
    </row>
    <row r="461" spans="2:3" x14ac:dyDescent="0.4">
      <c r="B461" s="75">
        <v>45012</v>
      </c>
      <c r="C461">
        <v>40</v>
      </c>
    </row>
    <row r="462" spans="2:3" x14ac:dyDescent="0.4">
      <c r="B462" s="75">
        <v>45012</v>
      </c>
      <c r="C462">
        <v>40</v>
      </c>
    </row>
    <row r="463" spans="2:3" x14ac:dyDescent="0.4">
      <c r="B463" s="75">
        <v>45012</v>
      </c>
      <c r="C463">
        <v>40</v>
      </c>
    </row>
    <row r="464" spans="2:3" x14ac:dyDescent="0.4">
      <c r="B464" s="75">
        <v>45012</v>
      </c>
      <c r="C464">
        <v>40</v>
      </c>
    </row>
    <row r="465" spans="2:3" x14ac:dyDescent="0.4">
      <c r="B465" s="75">
        <v>45012</v>
      </c>
      <c r="C465">
        <v>40</v>
      </c>
    </row>
    <row r="466" spans="2:3" x14ac:dyDescent="0.4">
      <c r="B466" s="75">
        <v>45012</v>
      </c>
      <c r="C466">
        <v>40</v>
      </c>
    </row>
    <row r="467" spans="2:3" x14ac:dyDescent="0.4">
      <c r="B467" s="75">
        <v>45012</v>
      </c>
      <c r="C467">
        <v>40</v>
      </c>
    </row>
    <row r="468" spans="2:3" x14ac:dyDescent="0.4">
      <c r="B468" s="75">
        <v>45012</v>
      </c>
      <c r="C468">
        <v>40</v>
      </c>
    </row>
    <row r="469" spans="2:3" x14ac:dyDescent="0.4">
      <c r="B469" s="75">
        <v>45012</v>
      </c>
      <c r="C469">
        <v>40</v>
      </c>
    </row>
    <row r="470" spans="2:3" x14ac:dyDescent="0.4">
      <c r="B470" s="75">
        <v>45012</v>
      </c>
      <c r="C470">
        <v>40</v>
      </c>
    </row>
    <row r="471" spans="2:3" x14ac:dyDescent="0.4">
      <c r="B471" s="75">
        <v>45019</v>
      </c>
      <c r="C471">
        <v>40</v>
      </c>
    </row>
    <row r="472" spans="2:3" x14ac:dyDescent="0.4">
      <c r="B472" s="75">
        <v>45019</v>
      </c>
      <c r="C472">
        <v>40</v>
      </c>
    </row>
    <row r="473" spans="2:3" x14ac:dyDescent="0.4">
      <c r="B473" s="75">
        <v>45019</v>
      </c>
      <c r="C473">
        <v>40</v>
      </c>
    </row>
    <row r="474" spans="2:3" x14ac:dyDescent="0.4">
      <c r="B474" s="75">
        <v>45019</v>
      </c>
      <c r="C474">
        <v>40</v>
      </c>
    </row>
    <row r="475" spans="2:3" x14ac:dyDescent="0.4">
      <c r="B475" s="75">
        <v>45019</v>
      </c>
      <c r="C475">
        <v>40</v>
      </c>
    </row>
    <row r="476" spans="2:3" x14ac:dyDescent="0.4">
      <c r="B476" s="75">
        <v>45033</v>
      </c>
      <c r="C476">
        <v>40</v>
      </c>
    </row>
    <row r="477" spans="2:3" x14ac:dyDescent="0.4">
      <c r="B477" s="75">
        <v>45033</v>
      </c>
      <c r="C477">
        <v>40</v>
      </c>
    </row>
    <row r="478" spans="2:3" x14ac:dyDescent="0.4">
      <c r="B478" s="75">
        <v>45033</v>
      </c>
      <c r="C478">
        <v>40</v>
      </c>
    </row>
    <row r="479" spans="2:3" x14ac:dyDescent="0.4">
      <c r="B479" s="75">
        <v>45033</v>
      </c>
      <c r="C479">
        <v>40</v>
      </c>
    </row>
    <row r="480" spans="2:3" x14ac:dyDescent="0.4">
      <c r="B480" s="75">
        <v>45033</v>
      </c>
      <c r="C480">
        <v>40</v>
      </c>
    </row>
    <row r="481" spans="2:3" x14ac:dyDescent="0.4">
      <c r="B481" s="75">
        <v>45040</v>
      </c>
      <c r="C481">
        <v>40</v>
      </c>
    </row>
    <row r="482" spans="2:3" x14ac:dyDescent="0.4">
      <c r="B482" s="75">
        <v>45040</v>
      </c>
      <c r="C482">
        <v>40</v>
      </c>
    </row>
    <row r="483" spans="2:3" x14ac:dyDescent="0.4">
      <c r="B483" s="75">
        <v>45040</v>
      </c>
      <c r="C483">
        <v>40</v>
      </c>
    </row>
    <row r="484" spans="2:3" x14ac:dyDescent="0.4">
      <c r="B484" s="75">
        <v>45040</v>
      </c>
      <c r="C484">
        <v>40</v>
      </c>
    </row>
    <row r="485" spans="2:3" x14ac:dyDescent="0.4">
      <c r="B485" s="75">
        <v>45054</v>
      </c>
      <c r="C485">
        <v>40</v>
      </c>
    </row>
    <row r="486" spans="2:3" x14ac:dyDescent="0.4">
      <c r="B486" s="75">
        <v>45054</v>
      </c>
      <c r="C486">
        <v>40</v>
      </c>
    </row>
    <row r="487" spans="2:3" x14ac:dyDescent="0.4">
      <c r="B487" s="75">
        <v>45096</v>
      </c>
      <c r="C487">
        <v>40</v>
      </c>
    </row>
    <row r="488" spans="2:3" x14ac:dyDescent="0.4">
      <c r="B488" s="75">
        <v>45138</v>
      </c>
      <c r="C488">
        <v>40</v>
      </c>
    </row>
    <row r="489" spans="2:3" x14ac:dyDescent="0.4">
      <c r="B489" s="75">
        <v>45138</v>
      </c>
      <c r="C489">
        <v>40</v>
      </c>
    </row>
    <row r="490" spans="2:3" x14ac:dyDescent="0.4">
      <c r="B490" s="75">
        <v>45152</v>
      </c>
      <c r="C490">
        <v>40</v>
      </c>
    </row>
    <row r="491" spans="2:3" x14ac:dyDescent="0.4">
      <c r="B491" s="75">
        <v>45152</v>
      </c>
      <c r="C491">
        <v>40</v>
      </c>
    </row>
    <row r="492" spans="2:3" x14ac:dyDescent="0.4">
      <c r="B492" s="75">
        <v>45166</v>
      </c>
      <c r="C492">
        <v>40</v>
      </c>
    </row>
    <row r="493" spans="2:3" x14ac:dyDescent="0.4">
      <c r="B493" s="75">
        <v>45180</v>
      </c>
      <c r="C493">
        <v>40</v>
      </c>
    </row>
    <row r="494" spans="2:3" x14ac:dyDescent="0.4">
      <c r="B494" s="75">
        <v>45180</v>
      </c>
      <c r="C494">
        <v>40</v>
      </c>
    </row>
    <row r="495" spans="2:3" x14ac:dyDescent="0.4">
      <c r="B495" s="75">
        <v>45194</v>
      </c>
      <c r="C495">
        <v>40</v>
      </c>
    </row>
    <row r="496" spans="2:3" x14ac:dyDescent="0.4">
      <c r="B496" s="75">
        <v>45194</v>
      </c>
      <c r="C496">
        <v>40</v>
      </c>
    </row>
    <row r="497" spans="2:3" x14ac:dyDescent="0.4">
      <c r="B497" s="75">
        <v>45307</v>
      </c>
      <c r="C497">
        <v>0</v>
      </c>
    </row>
    <row r="498" spans="2:3" x14ac:dyDescent="0.4">
      <c r="B498" s="75">
        <v>45334</v>
      </c>
      <c r="C498">
        <v>0</v>
      </c>
    </row>
  </sheetData>
  <sortState xmlns:xlrd2="http://schemas.microsoft.com/office/spreadsheetml/2017/richdata2" ref="B2:B498">
    <sortCondition ref="B2:B49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of Time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Dillingham</dc:creator>
  <cp:lastModifiedBy>James Dillingham</cp:lastModifiedBy>
  <dcterms:created xsi:type="dcterms:W3CDTF">2023-02-08T14:47:41Z</dcterms:created>
  <dcterms:modified xsi:type="dcterms:W3CDTF">2024-03-13T22:03:24Z</dcterms:modified>
</cp:coreProperties>
</file>